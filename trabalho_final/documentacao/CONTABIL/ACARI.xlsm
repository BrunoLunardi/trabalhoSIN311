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\Desktop\"/>
    </mc:Choice>
  </mc:AlternateContent>
  <workbookProtection workbookAlgorithmName="SHA-512" workbookHashValue="tugU1bRiMkNBuYdcJXaoz69fhDnTAc21lzQ8Xo94k1NCAA54gSp1+JhvlXVYPR3Pm5zxkZ1C1g/gE4J0zSazvw==" workbookSaltValue="NS57DJy3jPlAAFbpDw+fCw==" workbookSpinCount="100000" lockStructure="1"/>
  <bookViews>
    <workbookView xWindow="0" yWindow="0" windowWidth="7470" windowHeight="3390" tabRatio="0" xr2:uid="{00000000-000D-0000-FFFF-FFFF00000000}"/>
  </bookViews>
  <sheets>
    <sheet name="MENU (Geral)" sheetId="11" r:id="rId1"/>
    <sheet name="Vender" sheetId="25" r:id="rId2"/>
    <sheet name="PreçosEXIBIÇÃO" sheetId="24" r:id="rId3"/>
    <sheet name="MENU (ADM)" sheetId="12" r:id="rId4"/>
    <sheet name="Estoque" sheetId="37" r:id="rId5"/>
    <sheet name="Ficha Estoque" sheetId="42" r:id="rId6"/>
    <sheet name="Despesas" sheetId="39" r:id="rId7"/>
    <sheet name="Registro Despesas" sheetId="40" r:id="rId8"/>
    <sheet name="Fluxo de Caixa" sheetId="38" r:id="rId9"/>
    <sheet name="Extrato (GERAL)" sheetId="19" r:id="rId10"/>
    <sheet name="Vender (2)" sheetId="33" r:id="rId11"/>
    <sheet name="Extrato (VENDAS)" sheetId="22" r:id="rId12"/>
    <sheet name="DadosAssociados" sheetId="29" r:id="rId13"/>
    <sheet name="PreçosEDITÁVEL" sheetId="31" r:id="rId14"/>
    <sheet name="ADMINISTRADORES" sheetId="16" r:id="rId15"/>
    <sheet name="Senha" sheetId="17" r:id="rId16"/>
    <sheet name="BD_Planilha" sheetId="44" r:id="rId17"/>
  </sheets>
  <functionGroups builtInGroupCount="19"/>
  <definedNames>
    <definedName name="_xlnm._FilterDatabase" localSheetId="14" hidden="1">ADMINISTRADORES!$A$10:$C$41</definedName>
    <definedName name="_xlnm._FilterDatabase" localSheetId="15" hidden="1">Senha!$A$1:$C$27</definedName>
    <definedName name="item">PreçosEDITÁVEL!$C$11:$K$44</definedName>
    <definedName name="Lista_Relatório" localSheetId="11">'Extrato (VENDAS)'!$B$10:$C$1048576</definedName>
    <definedName name="Lista_Relatório" localSheetId="7">'Registro Despesas'!$B$10:$C$1048576</definedName>
    <definedName name="Lista_Relatório">'Extrato (GERAL)'!$B$10:$C$1048576</definedName>
    <definedName name="ListaDeTeste" localSheetId="6">DadosAssociados!$B$9:RlinhaC2</definedName>
    <definedName name="ListaDeTeste" localSheetId="4">DadosAssociados!$B$9:RlinhaC2</definedName>
    <definedName name="ListaDeTeste" localSheetId="5">DadosAssociados!$B$9:RlinhaC2</definedName>
    <definedName name="ListaDeTeste" localSheetId="8">DadosAssociados!$B$9:RlinhaC2</definedName>
    <definedName name="ListaDeTeste" localSheetId="7">DadosAssociados!$B$9:RlinhaC2</definedName>
    <definedName name="ListaDeTeste">DadosAssociados!$B$9:RlinhaC2</definedName>
    <definedName name="ListaNomeAssociados">DadosAssociados!$B$10:$B$13</definedName>
    <definedName name="Materiais" localSheetId="5">'Ficha Estoque'!$C$11:$C$44</definedName>
    <definedName name="Materiais">PreçosEDITÁVEL!$C$11:$C$44</definedName>
    <definedName name="Material" localSheetId="9">'Extrato (GERAL)'!$C:$C</definedName>
    <definedName name="Material" localSheetId="11">'Extrato (VENDAS)'!$C:$C</definedName>
    <definedName name="Material" localSheetId="7">'Registro Despesas'!$C:$C</definedName>
    <definedName name="Material_Venda_ADM">'Vender (2)'!$D$10</definedName>
    <definedName name="preços" localSheetId="5">'Ficha Estoque'!$C$13:$M$44</definedName>
    <definedName name="preços">PreçosEDITÁVEL!$C$13:$K$44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6" l="1"/>
  <c r="C27" i="17" l="1"/>
  <c r="B27" i="17"/>
  <c r="A27" i="17"/>
  <c r="C26" i="17"/>
  <c r="B26" i="17"/>
  <c r="A26" i="17"/>
  <c r="C25" i="17"/>
  <c r="B25" i="17"/>
  <c r="A25" i="17"/>
  <c r="C24" i="17"/>
  <c r="B24" i="17"/>
  <c r="A24" i="17"/>
  <c r="C23" i="17"/>
  <c r="B23" i="17"/>
  <c r="A23" i="17"/>
  <c r="C22" i="17"/>
  <c r="B22" i="17"/>
  <c r="A22" i="17"/>
  <c r="C21" i="17"/>
  <c r="B21" i="17"/>
  <c r="A21" i="17"/>
  <c r="C20" i="17"/>
  <c r="B20" i="17"/>
  <c r="A20" i="17"/>
  <c r="C19" i="17"/>
  <c r="B19" i="17"/>
  <c r="A19" i="17"/>
  <c r="C18" i="17"/>
  <c r="B18" i="17"/>
  <c r="A18" i="17"/>
  <c r="C17" i="17"/>
  <c r="B17" i="17"/>
  <c r="A17" i="17"/>
  <c r="C16" i="17"/>
  <c r="B16" i="17"/>
  <c r="A16" i="17"/>
  <c r="C10" i="17"/>
  <c r="C9" i="17"/>
  <c r="C8" i="17"/>
  <c r="B8" i="17"/>
  <c r="C7" i="17"/>
  <c r="B7" i="17"/>
  <c r="C6" i="17"/>
  <c r="B6" i="17"/>
  <c r="C5" i="17"/>
  <c r="B5" i="17"/>
  <c r="C4" i="17"/>
  <c r="B4" i="17"/>
  <c r="C3" i="17"/>
  <c r="B3" i="17"/>
  <c r="A3" i="17"/>
  <c r="C2" i="17"/>
  <c r="B2" i="17"/>
  <c r="A16" i="16"/>
  <c r="A8" i="17" s="1"/>
  <c r="B15" i="16"/>
  <c r="A15" i="16"/>
  <c r="A7" i="17" s="1"/>
  <c r="B14" i="16"/>
  <c r="A14" i="16"/>
  <c r="A6" i="17" s="1"/>
  <c r="B13" i="16"/>
  <c r="A13" i="16"/>
  <c r="A5" i="17" s="1"/>
  <c r="B12" i="16"/>
  <c r="A12" i="16"/>
  <c r="A4" i="17" s="1"/>
  <c r="B11" i="16"/>
  <c r="A11" i="16"/>
  <c r="B10" i="16"/>
  <c r="A10" i="16"/>
  <c r="A2" i="17" s="1"/>
  <c r="A3" i="16"/>
  <c r="A3" i="31"/>
  <c r="A3" i="29"/>
  <c r="D9" i="22"/>
  <c r="A3" i="22"/>
  <c r="O26" i="33"/>
  <c r="M26" i="33"/>
  <c r="B21" i="33"/>
  <c r="L11" i="33"/>
  <c r="I11" i="33"/>
  <c r="G11" i="33"/>
  <c r="A3" i="33"/>
  <c r="O11" i="33" s="1"/>
  <c r="A1" i="33"/>
  <c r="D9" i="19"/>
  <c r="A3" i="19"/>
  <c r="A3" i="38"/>
  <c r="A1" i="38"/>
  <c r="A3" i="40"/>
  <c r="E15" i="39"/>
  <c r="A3" i="39"/>
  <c r="A1" i="39"/>
  <c r="L44" i="42"/>
  <c r="J44" i="42"/>
  <c r="L40" i="42"/>
  <c r="J40" i="42"/>
  <c r="L39" i="42"/>
  <c r="J39" i="42"/>
  <c r="L38" i="42"/>
  <c r="J38" i="42"/>
  <c r="L37" i="42"/>
  <c r="J37" i="42"/>
  <c r="L36" i="42"/>
  <c r="J36" i="42"/>
  <c r="L35" i="42"/>
  <c r="J35" i="42"/>
  <c r="L34" i="42"/>
  <c r="J34" i="42"/>
  <c r="L33" i="42"/>
  <c r="J33" i="42"/>
  <c r="L32" i="42"/>
  <c r="J32" i="42"/>
  <c r="L31" i="42"/>
  <c r="J31" i="42"/>
  <c r="L30" i="42"/>
  <c r="J30" i="42"/>
  <c r="L29" i="42"/>
  <c r="J29" i="42"/>
  <c r="L28" i="42"/>
  <c r="J28" i="42"/>
  <c r="L27" i="42"/>
  <c r="J27" i="42"/>
  <c r="L26" i="42"/>
  <c r="J26" i="42"/>
  <c r="L25" i="42"/>
  <c r="J25" i="42"/>
  <c r="L24" i="42"/>
  <c r="J24" i="42"/>
  <c r="L23" i="42"/>
  <c r="J23" i="42"/>
  <c r="L22" i="42"/>
  <c r="J22" i="42"/>
  <c r="L21" i="42"/>
  <c r="J21" i="42"/>
  <c r="L20" i="42"/>
  <c r="J20" i="42"/>
  <c r="L19" i="42"/>
  <c r="J19" i="42"/>
  <c r="L18" i="42"/>
  <c r="J18" i="42"/>
  <c r="L17" i="42"/>
  <c r="J17" i="42"/>
  <c r="L16" i="42"/>
  <c r="J16" i="42"/>
  <c r="L15" i="42"/>
  <c r="J15" i="42"/>
  <c r="L14" i="42"/>
  <c r="J14" i="42"/>
  <c r="L13" i="42"/>
  <c r="J13" i="42"/>
  <c r="Q12" i="42"/>
  <c r="O12" i="42"/>
  <c r="A3" i="42"/>
  <c r="B19" i="37"/>
  <c r="G16" i="37"/>
  <c r="G14" i="37" s="1"/>
  <c r="E16" i="37"/>
  <c r="E14" i="37" s="1"/>
  <c r="H14" i="37"/>
  <c r="F14" i="37"/>
  <c r="H12" i="37"/>
  <c r="F12" i="37"/>
  <c r="A3" i="37"/>
  <c r="A1" i="37"/>
  <c r="A3" i="12"/>
  <c r="A3" i="24"/>
  <c r="O25" i="25"/>
  <c r="B21" i="25"/>
  <c r="L11" i="25"/>
  <c r="I11" i="25"/>
  <c r="G11" i="25"/>
  <c r="A3" i="25"/>
  <c r="O11" i="25" s="1"/>
  <c r="A3" i="11"/>
</calcChain>
</file>

<file path=xl/sharedStrings.xml><?xml version="1.0" encoding="utf-8"?>
<sst xmlns="http://schemas.openxmlformats.org/spreadsheetml/2006/main" count="573" uniqueCount="143">
  <si>
    <t>Material</t>
  </si>
  <si>
    <t>Código</t>
  </si>
  <si>
    <t>CPF</t>
  </si>
  <si>
    <t>RG</t>
  </si>
  <si>
    <t>Associado</t>
  </si>
  <si>
    <t>MATERIAL (Unidade)</t>
  </si>
  <si>
    <t>MATERIAL (Kg)</t>
  </si>
  <si>
    <t>Total Geral</t>
  </si>
  <si>
    <t>MENU (ADM)</t>
  </si>
  <si>
    <t>DadosAssociados</t>
  </si>
  <si>
    <t>PreçosEDITÁVEL</t>
  </si>
  <si>
    <t>Senha</t>
  </si>
  <si>
    <t>Usuário</t>
  </si>
  <si>
    <t>Formulário</t>
  </si>
  <si>
    <t>1 - Papelão</t>
  </si>
  <si>
    <t>2 - Papel Branco</t>
  </si>
  <si>
    <t>3 - Papel Misto</t>
  </si>
  <si>
    <t>4 - Caixa de leite</t>
  </si>
  <si>
    <t>5 - Sucata</t>
  </si>
  <si>
    <t>6 - Latinha de Alumínio</t>
  </si>
  <si>
    <t>7 - Metal  - Latão / bronze</t>
  </si>
  <si>
    <t>8 - Bloco de alumínio</t>
  </si>
  <si>
    <t>9 - Panela de Alumínio</t>
  </si>
  <si>
    <t>10 - Placa CPU</t>
  </si>
  <si>
    <t>ADMINISTRADORES</t>
  </si>
  <si>
    <t>USUÁRIO:</t>
  </si>
  <si>
    <t>SENHA:</t>
  </si>
  <si>
    <t>EXTRATO DE VENDA</t>
  </si>
  <si>
    <t>Kg</t>
  </si>
  <si>
    <t>Total parcial</t>
  </si>
  <si>
    <t>Unid.</t>
  </si>
  <si>
    <t>TOTAL:</t>
  </si>
  <si>
    <t>Quantidade</t>
  </si>
  <si>
    <r>
      <t xml:space="preserve">ACARI - </t>
    </r>
    <r>
      <rPr>
        <sz val="8"/>
        <color theme="1"/>
        <rFont val="Calibri"/>
        <family val="2"/>
        <scheme val="minor"/>
      </rPr>
      <t>Associação de Catadores Autônomos de Reciclagem Itajubense</t>
    </r>
  </si>
  <si>
    <t>11- Placa de TV</t>
  </si>
  <si>
    <t>12 - Celular</t>
  </si>
  <si>
    <t>13 - Chumbo</t>
  </si>
  <si>
    <t>14 - Pet branco</t>
  </si>
  <si>
    <t>15 - Pet verde</t>
  </si>
  <si>
    <t>16 - Pet oleo</t>
  </si>
  <si>
    <t>17 - PAD b/cores</t>
  </si>
  <si>
    <t>18 - PP cor</t>
  </si>
  <si>
    <t>19 - PP b</t>
  </si>
  <si>
    <t>20 - PS / ABS</t>
  </si>
  <si>
    <t>21 - PVC</t>
  </si>
  <si>
    <t>22 - Vidro</t>
  </si>
  <si>
    <t>23 - Acrílico</t>
  </si>
  <si>
    <t>24 - Óleo cozinha usado</t>
  </si>
  <si>
    <t>25 - Cobre</t>
  </si>
  <si>
    <t>26 - RX</t>
  </si>
  <si>
    <t>27 - Bateria Moto</t>
  </si>
  <si>
    <t>28 - Bateria Carro</t>
  </si>
  <si>
    <t>29 - Litros brancos *Garrafas</t>
  </si>
  <si>
    <t>Contador:</t>
  </si>
  <si>
    <t>J:</t>
  </si>
  <si>
    <t>Se limpar a planilha:  J =  10 | Contador = Não Mexer</t>
  </si>
  <si>
    <t>-</t>
  </si>
  <si>
    <t>MATERIAL</t>
  </si>
  <si>
    <t>Extrato (GERAL)</t>
  </si>
  <si>
    <t>Aproximadamente</t>
  </si>
  <si>
    <t/>
  </si>
  <si>
    <t>Empresa/Industria</t>
  </si>
  <si>
    <t>EXTRATO DE COMPRA</t>
  </si>
  <si>
    <t>a</t>
  </si>
  <si>
    <r>
      <t>Fardo</t>
    </r>
    <r>
      <rPr>
        <b/>
        <sz val="11"/>
        <color theme="0"/>
        <rFont val="Calibri"/>
        <family val="2"/>
        <scheme val="minor"/>
      </rPr>
      <t xml:space="preserve"> (Estimado)</t>
    </r>
  </si>
  <si>
    <t>faz</t>
  </si>
  <si>
    <t>MG</t>
  </si>
  <si>
    <t>Rua</t>
  </si>
  <si>
    <t>Nº</t>
  </si>
  <si>
    <t>Bairro</t>
  </si>
  <si>
    <t>Cidade</t>
  </si>
  <si>
    <t>UF</t>
  </si>
  <si>
    <t>Complemento</t>
  </si>
  <si>
    <t>z</t>
  </si>
  <si>
    <t>Julio</t>
  </si>
  <si>
    <t>ASSOCIADOS</t>
  </si>
  <si>
    <t>Empresa</t>
  </si>
  <si>
    <t xml:space="preserve">                                        Preço / Kg</t>
  </si>
  <si>
    <t xml:space="preserve">                 Preço / Unid.</t>
  </si>
  <si>
    <t>Peso Total</t>
  </si>
  <si>
    <t>Valor Total</t>
  </si>
  <si>
    <r>
      <t xml:space="preserve">ENTRADA </t>
    </r>
    <r>
      <rPr>
        <b/>
        <sz val="10"/>
        <color theme="0"/>
        <rFont val="Calibri"/>
        <family val="2"/>
        <scheme val="minor"/>
      </rPr>
      <t>(no período selecionado)</t>
    </r>
  </si>
  <si>
    <r>
      <t xml:space="preserve">SAÍDA </t>
    </r>
    <r>
      <rPr>
        <b/>
        <sz val="10"/>
        <color theme="0"/>
        <rFont val="Calibri"/>
        <family val="2"/>
        <scheme val="minor"/>
      </rPr>
      <t>(no período selecionado)</t>
    </r>
  </si>
  <si>
    <t xml:space="preserve">FARDOS  </t>
  </si>
  <si>
    <t>Estimativa de Fardos:</t>
  </si>
  <si>
    <t>ACARI</t>
  </si>
  <si>
    <t>DATAS</t>
  </si>
  <si>
    <t>Associação de Catadores Autônomos de Reciclagem Itajubense</t>
  </si>
  <si>
    <r>
      <t xml:space="preserve">ESTOQUE </t>
    </r>
    <r>
      <rPr>
        <b/>
        <sz val="12"/>
        <color theme="0"/>
        <rFont val="Calibri"/>
        <family val="2"/>
        <scheme val="minor"/>
      </rPr>
      <t>(Parcial)</t>
    </r>
  </si>
  <si>
    <r>
      <rPr>
        <b/>
        <sz val="24"/>
        <color theme="0"/>
        <rFont val="Calibri"/>
        <family val="2"/>
        <scheme val="minor"/>
      </rPr>
      <t xml:space="preserve">ESTOQUE </t>
    </r>
    <r>
      <rPr>
        <b/>
        <sz val="16"/>
        <color theme="0"/>
        <rFont val="Calibri"/>
        <family val="2"/>
        <scheme val="minor"/>
      </rPr>
      <t>(Total)</t>
    </r>
  </si>
  <si>
    <t>Estoque</t>
  </si>
  <si>
    <t>heitor</t>
  </si>
  <si>
    <t>08755</t>
  </si>
  <si>
    <t>Itajubá</t>
  </si>
  <si>
    <t>Associado:  Gabriella Carvalho</t>
  </si>
  <si>
    <r>
      <t xml:space="preserve">FLUXO DE CAIXA </t>
    </r>
    <r>
      <rPr>
        <b/>
        <sz val="12"/>
        <color theme="0"/>
        <rFont val="Calibri"/>
        <family val="2"/>
        <scheme val="minor"/>
      </rPr>
      <t>(Parcial)</t>
    </r>
  </si>
  <si>
    <t>SALDO (Hoje)</t>
  </si>
  <si>
    <t>DATA</t>
  </si>
  <si>
    <t>Descrição</t>
  </si>
  <si>
    <t>Valor</t>
  </si>
  <si>
    <t>Pão, café, açúcar</t>
  </si>
  <si>
    <t>COMPRAS</t>
  </si>
  <si>
    <t>VENDAS</t>
  </si>
  <si>
    <t>DESPESAS</t>
  </si>
  <si>
    <t>Associado:  Felipe Augusto Botrel</t>
  </si>
  <si>
    <t>Empresa/Industria:  green2</t>
  </si>
  <si>
    <t>Empresa/Industria:  Duarte</t>
  </si>
  <si>
    <t>SAÍDAS</t>
  </si>
  <si>
    <t>ESTOQUE (no período)</t>
  </si>
  <si>
    <t>ESTOQUE</t>
  </si>
  <si>
    <t>ENTRADAS</t>
  </si>
  <si>
    <t>Período</t>
  </si>
  <si>
    <t>unid.</t>
  </si>
  <si>
    <t>Mín</t>
  </si>
  <si>
    <t>Máx</t>
  </si>
  <si>
    <t>Preço / Kg</t>
  </si>
  <si>
    <t>Preço / Unid.</t>
  </si>
  <si>
    <t>Empresa/Industria:  Valter Vieira</t>
  </si>
  <si>
    <t>Ademir</t>
  </si>
  <si>
    <t>237.135.266-72</t>
  </si>
  <si>
    <t>ggggggggggg</t>
  </si>
  <si>
    <t>Ddddddddddd</t>
  </si>
  <si>
    <t>Bps</t>
  </si>
  <si>
    <t>Asd</t>
  </si>
  <si>
    <t>asdads</t>
  </si>
  <si>
    <t>asdas</t>
  </si>
  <si>
    <t>Dasdas</t>
  </si>
  <si>
    <t>asda</t>
  </si>
  <si>
    <t>Asdas</t>
  </si>
  <si>
    <t>Asdasd</t>
  </si>
  <si>
    <t>ASDSAD</t>
  </si>
  <si>
    <t xml:space="preserve">Felipe </t>
  </si>
  <si>
    <t>000.000.000-23</t>
  </si>
  <si>
    <t>TELA CHEIA</t>
  </si>
  <si>
    <t>NOME ARQUIVO</t>
  </si>
  <si>
    <t>TELA</t>
  </si>
  <si>
    <t>Full_ON</t>
  </si>
  <si>
    <t>ACARI.xlsm</t>
  </si>
  <si>
    <t>Associado:  Ademir</t>
  </si>
  <si>
    <t>Aaa</t>
  </si>
  <si>
    <t>A</t>
  </si>
  <si>
    <t>Acvasdfva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</si>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</sst>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F800]dddd\,\ mmmm\ dd\,\ yyyy"/>
    <numFmt numFmtId="165" formatCode="_-[$R$-416]* #,##0.00_-;\-[$R$-416]* #,##0.00_-;_-[$R$-416]* &quot;-&quot;??_-;_-@_-"/>
    <numFmt numFmtId="166" formatCode="&quot;R$&quot;\ #,##0.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72"/>
      <color theme="5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48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2"/>
      <name val="Calibri"/>
      <family val="2"/>
      <scheme val="minor"/>
    </font>
    <font>
      <b/>
      <sz val="72"/>
      <color theme="5"/>
      <name val="Calibri"/>
      <family val="2"/>
      <scheme val="minor"/>
    </font>
    <font>
      <sz val="20"/>
      <color rgb="FF00206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8"/>
      <color rgb="FF000000"/>
      <name val="Segoe UI"/>
      <family val="2"/>
    </font>
  </fonts>
  <fills count="2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3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1" xfId="0" applyFill="1" applyBorder="1"/>
    <xf numFmtId="0" fontId="0" fillId="0" borderId="0" xfId="0" applyFill="1" applyBorder="1"/>
    <xf numFmtId="0" fontId="0" fillId="3" borderId="0" xfId="0" applyFill="1"/>
    <xf numFmtId="0" fontId="0" fillId="0" borderId="2" xfId="0" applyBorder="1"/>
    <xf numFmtId="0" fontId="0" fillId="5" borderId="2" xfId="0" applyFill="1" applyBorder="1"/>
    <xf numFmtId="0" fontId="0" fillId="5" borderId="2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0" fillId="0" borderId="4" xfId="0" applyBorder="1"/>
    <xf numFmtId="0" fontId="0" fillId="0" borderId="2" xfId="1" applyNumberFormat="1" applyFont="1" applyBorder="1"/>
    <xf numFmtId="0" fontId="0" fillId="0" borderId="6" xfId="1" applyNumberFormat="1" applyFont="1" applyBorder="1"/>
    <xf numFmtId="0" fontId="0" fillId="6" borderId="2" xfId="0" applyFill="1" applyBorder="1" applyAlignment="1"/>
    <xf numFmtId="0" fontId="7" fillId="3" borderId="2" xfId="0" applyFont="1" applyFill="1" applyBorder="1" applyAlignment="1">
      <alignment horizontal="center" vertical="center"/>
    </xf>
    <xf numFmtId="0" fontId="0" fillId="3" borderId="6" xfId="1" applyNumberFormat="1" applyFont="1" applyFill="1" applyBorder="1"/>
    <xf numFmtId="0" fontId="2" fillId="4" borderId="7" xfId="0" applyFont="1" applyFill="1" applyBorder="1" applyAlignment="1">
      <alignment horizontal="center" vertical="center"/>
    </xf>
    <xf numFmtId="0" fontId="0" fillId="0" borderId="3" xfId="1" applyNumberFormat="1" applyFont="1" applyBorder="1"/>
    <xf numFmtId="0" fontId="0" fillId="0" borderId="3" xfId="0" applyBorder="1"/>
    <xf numFmtId="0" fontId="2" fillId="0" borderId="5" xfId="0" applyFont="1" applyFill="1" applyBorder="1" applyAlignment="1">
      <alignment horizontal="center" vertical="center"/>
    </xf>
    <xf numFmtId="165" fontId="0" fillId="0" borderId="0" xfId="0" applyNumberFormat="1"/>
    <xf numFmtId="0" fontId="8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0" fillId="7" borderId="0" xfId="0" applyFill="1"/>
    <xf numFmtId="164" fontId="2" fillId="7" borderId="0" xfId="0" applyNumberFormat="1" applyFont="1" applyFill="1" applyAlignment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7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66" fontId="0" fillId="0" borderId="16" xfId="0" applyNumberFormat="1" applyBorder="1"/>
    <xf numFmtId="166" fontId="0" fillId="0" borderId="5" xfId="0" applyNumberFormat="1" applyBorder="1"/>
    <xf numFmtId="166" fontId="0" fillId="6" borderId="5" xfId="0" applyNumberFormat="1" applyFill="1" applyBorder="1"/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/>
    </xf>
    <xf numFmtId="44" fontId="0" fillId="0" borderId="0" xfId="2" applyFont="1" applyFill="1" applyBorder="1" applyAlignment="1">
      <alignment horizontal="center" vertical="center"/>
    </xf>
    <xf numFmtId="44" fontId="0" fillId="0" borderId="0" xfId="2" applyFont="1" applyAlignment="1">
      <alignment horizontal="center" vertical="center"/>
    </xf>
    <xf numFmtId="0" fontId="0" fillId="0" borderId="0" xfId="0" applyNumberFormat="1" applyFill="1" applyBorder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NumberFormat="1" applyFill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44" fontId="15" fillId="0" borderId="2" xfId="2" applyFont="1" applyFill="1" applyBorder="1" applyAlignment="1">
      <alignment horizontal="center" vertical="center"/>
    </xf>
    <xf numFmtId="0" fontId="0" fillId="6" borderId="5" xfId="0" applyFill="1" applyBorder="1" applyAlignment="1"/>
    <xf numFmtId="0" fontId="0" fillId="0" borderId="5" xfId="0" applyBorder="1"/>
    <xf numFmtId="166" fontId="0" fillId="0" borderId="6" xfId="0" applyNumberFormat="1" applyBorder="1"/>
    <xf numFmtId="0" fontId="0" fillId="0" borderId="7" xfId="0" applyBorder="1"/>
    <xf numFmtId="0" fontId="3" fillId="0" borderId="5" xfId="0" applyFont="1" applyFill="1" applyBorder="1" applyAlignment="1">
      <alignment horizontal="center" vertical="center"/>
    </xf>
    <xf numFmtId="0" fontId="0" fillId="9" borderId="0" xfId="0" applyFill="1"/>
    <xf numFmtId="0" fontId="0" fillId="8" borderId="0" xfId="0" applyFill="1"/>
    <xf numFmtId="0" fontId="0" fillId="9" borderId="0" xfId="0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0" borderId="0" xfId="0" applyNumberFormat="1" applyFill="1" applyAlignment="1">
      <alignment horizontal="left" vertical="center"/>
    </xf>
    <xf numFmtId="0" fontId="0" fillId="0" borderId="0" xfId="0" applyNumberFormat="1" applyFont="1"/>
    <xf numFmtId="0" fontId="0" fillId="7" borderId="0" xfId="0" applyNumberFormat="1" applyFont="1" applyFill="1"/>
    <xf numFmtId="0" fontId="0" fillId="3" borderId="0" xfId="0" applyNumberFormat="1" applyFont="1" applyFill="1"/>
    <xf numFmtId="0" fontId="0" fillId="2" borderId="0" xfId="0" applyNumberFormat="1" applyFont="1" applyFill="1"/>
    <xf numFmtId="0" fontId="0" fillId="2" borderId="1" xfId="0" applyNumberFormat="1" applyFont="1" applyFill="1" applyBorder="1"/>
    <xf numFmtId="0" fontId="0" fillId="10" borderId="0" xfId="0" applyNumberFormat="1" applyFont="1" applyFill="1"/>
    <xf numFmtId="14" fontId="0" fillId="0" borderId="0" xfId="0" applyNumberFormat="1" applyFont="1"/>
    <xf numFmtId="44" fontId="0" fillId="0" borderId="0" xfId="2" applyFont="1"/>
    <xf numFmtId="164" fontId="2" fillId="7" borderId="0" xfId="0" applyNumberFormat="1" applyFont="1" applyFill="1" applyAlignment="1">
      <alignment horizontal="center"/>
    </xf>
    <xf numFmtId="0" fontId="0" fillId="7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14" fontId="0" fillId="0" borderId="0" xfId="2" applyNumberFormat="1" applyFont="1"/>
    <xf numFmtId="0" fontId="15" fillId="0" borderId="2" xfId="0" applyFont="1" applyBorder="1" applyAlignment="1" applyProtection="1">
      <alignment horizontal="center" vertical="center" wrapText="1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0" fontId="4" fillId="5" borderId="2" xfId="0" applyFont="1" applyFill="1" applyBorder="1" applyAlignment="1">
      <alignment horizontal="center" vertical="center"/>
    </xf>
    <xf numFmtId="0" fontId="13" fillId="6" borderId="0" xfId="0" applyFont="1" applyFill="1" applyBorder="1" applyAlignment="1" applyProtection="1">
      <alignment horizontal="left"/>
      <protection locked="0"/>
    </xf>
    <xf numFmtId="0" fontId="0" fillId="13" borderId="0" xfId="0" applyFill="1"/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right" vertical="center"/>
    </xf>
    <xf numFmtId="0" fontId="0" fillId="13" borderId="0" xfId="0" applyFill="1" applyAlignment="1">
      <alignment horizontal="left" vertical="center"/>
    </xf>
    <xf numFmtId="164" fontId="2" fillId="13" borderId="0" xfId="0" applyNumberFormat="1" applyFont="1" applyFill="1" applyAlignment="1">
      <alignment horizontal="center"/>
    </xf>
    <xf numFmtId="0" fontId="0" fillId="13" borderId="0" xfId="0" applyNumberFormat="1" applyFont="1" applyFill="1"/>
    <xf numFmtId="164" fontId="2" fillId="13" borderId="0" xfId="0" applyNumberFormat="1" applyFont="1" applyFill="1" applyAlignment="1"/>
    <xf numFmtId="14" fontId="4" fillId="6" borderId="7" xfId="0" applyNumberFormat="1" applyFont="1" applyFill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0" fontId="0" fillId="6" borderId="6" xfId="0" applyFont="1" applyFill="1" applyBorder="1" applyAlignment="1" applyProtection="1">
      <alignment horizontal="center" vertical="center"/>
      <protection locked="0"/>
    </xf>
    <xf numFmtId="0" fontId="0" fillId="6" borderId="8" xfId="0" applyNumberFormat="1" applyFont="1" applyFill="1" applyBorder="1" applyAlignment="1" applyProtection="1">
      <alignment horizontal="right" vertical="center"/>
      <protection locked="0"/>
    </xf>
    <xf numFmtId="0" fontId="0" fillId="6" borderId="8" xfId="0" applyNumberFormat="1" applyFont="1" applyFill="1" applyBorder="1" applyAlignment="1" applyProtection="1">
      <alignment horizontal="left" vertical="center"/>
      <protection locked="0"/>
    </xf>
    <xf numFmtId="44" fontId="1" fillId="6" borderId="13" xfId="2" applyFont="1" applyFill="1" applyBorder="1" applyAlignment="1" applyProtection="1">
      <alignment horizontal="center" vertical="center"/>
      <protection locked="0"/>
    </xf>
    <xf numFmtId="0" fontId="0" fillId="6" borderId="6" xfId="0" applyFill="1" applyBorder="1" applyAlignment="1" applyProtection="1">
      <alignment horizontal="center" vertical="center"/>
      <protection locked="0"/>
    </xf>
    <xf numFmtId="0" fontId="0" fillId="6" borderId="8" xfId="0" applyNumberFormat="1" applyFill="1" applyBorder="1" applyAlignment="1" applyProtection="1">
      <alignment horizontal="right" vertical="center"/>
      <protection locked="0"/>
    </xf>
    <xf numFmtId="0" fontId="0" fillId="6" borderId="8" xfId="0" applyNumberFormat="1" applyFill="1" applyBorder="1" applyAlignment="1" applyProtection="1">
      <alignment horizontal="left" vertical="center"/>
      <protection locked="0"/>
    </xf>
    <xf numFmtId="44" fontId="0" fillId="6" borderId="13" xfId="2" applyFont="1" applyFill="1" applyBorder="1" applyAlignment="1" applyProtection="1">
      <alignment horizontal="center" vertical="center"/>
      <protection locked="0"/>
    </xf>
    <xf numFmtId="0" fontId="0" fillId="6" borderId="5" xfId="0" applyFill="1" applyBorder="1" applyAlignment="1" applyProtection="1">
      <alignment horizontal="center" vertical="center"/>
      <protection locked="0"/>
    </xf>
    <xf numFmtId="0" fontId="0" fillId="6" borderId="18" xfId="0" applyNumberFormat="1" applyFill="1" applyBorder="1" applyAlignment="1" applyProtection="1">
      <alignment horizontal="right" vertical="center"/>
      <protection locked="0"/>
    </xf>
    <xf numFmtId="0" fontId="0" fillId="6" borderId="18" xfId="0" applyNumberFormat="1" applyFill="1" applyBorder="1" applyAlignment="1" applyProtection="1">
      <alignment horizontal="left" vertical="center"/>
      <protection locked="0"/>
    </xf>
    <xf numFmtId="44" fontId="0" fillId="6" borderId="4" xfId="2" applyFont="1" applyFill="1" applyBorder="1" applyAlignment="1" applyProtection="1">
      <alignment horizontal="center" vertical="center"/>
      <protection locked="0"/>
    </xf>
    <xf numFmtId="0" fontId="0" fillId="0" borderId="18" xfId="0" applyBorder="1"/>
    <xf numFmtId="0" fontId="0" fillId="0" borderId="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3" xfId="0" applyBorder="1"/>
    <xf numFmtId="0" fontId="0" fillId="0" borderId="17" xfId="0" applyBorder="1"/>
    <xf numFmtId="0" fontId="0" fillId="3" borderId="14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/>
    <xf numFmtId="164" fontId="2" fillId="7" borderId="0" xfId="0" applyNumberFormat="1" applyFont="1" applyFill="1" applyAlignment="1">
      <alignment horizontal="center"/>
    </xf>
    <xf numFmtId="0" fontId="0" fillId="14" borderId="0" xfId="0" applyFill="1"/>
    <xf numFmtId="0" fontId="24" fillId="15" borderId="18" xfId="0" applyFont="1" applyFill="1" applyBorder="1"/>
    <xf numFmtId="0" fontId="0" fillId="14" borderId="18" xfId="0" applyFill="1" applyBorder="1"/>
    <xf numFmtId="0" fontId="0" fillId="0" borderId="0" xfId="0" applyFill="1"/>
    <xf numFmtId="0" fontId="0" fillId="5" borderId="2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16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left" vertical="center"/>
    </xf>
    <xf numFmtId="0" fontId="0" fillId="16" borderId="0" xfId="0" applyFill="1" applyBorder="1"/>
    <xf numFmtId="0" fontId="25" fillId="6" borderId="5" xfId="0" applyFont="1" applyFill="1" applyBorder="1" applyAlignment="1">
      <alignment horizontal="right" vertical="center"/>
    </xf>
    <xf numFmtId="166" fontId="19" fillId="0" borderId="0" xfId="0" applyNumberFormat="1" applyFont="1" applyBorder="1" applyAlignment="1">
      <alignment horizontal="center" vertical="center"/>
    </xf>
    <xf numFmtId="0" fontId="0" fillId="0" borderId="16" xfId="0" applyBorder="1"/>
    <xf numFmtId="0" fontId="0" fillId="0" borderId="1" xfId="0" applyBorder="1"/>
    <xf numFmtId="0" fontId="0" fillId="0" borderId="8" xfId="0" applyBorder="1"/>
    <xf numFmtId="0" fontId="0" fillId="7" borderId="0" xfId="0" applyFont="1" applyFill="1"/>
    <xf numFmtId="0" fontId="0" fillId="3" borderId="0" xfId="0" applyFont="1" applyFill="1"/>
    <xf numFmtId="0" fontId="0" fillId="2" borderId="0" xfId="0" applyFont="1" applyFill="1"/>
    <xf numFmtId="0" fontId="0" fillId="2" borderId="1" xfId="0" applyFont="1" applyFill="1" applyBorder="1"/>
    <xf numFmtId="0" fontId="0" fillId="0" borderId="0" xfId="0" applyFont="1"/>
    <xf numFmtId="0" fontId="0" fillId="0" borderId="8" xfId="0" applyFont="1" applyBorder="1"/>
    <xf numFmtId="0" fontId="0" fillId="0" borderId="1" xfId="0" applyFont="1" applyBorder="1"/>
    <xf numFmtId="44" fontId="26" fillId="0" borderId="16" xfId="2" applyFont="1" applyBorder="1"/>
    <xf numFmtId="166" fontId="6" fillId="3" borderId="14" xfId="0" applyNumberFormat="1" applyFont="1" applyFill="1" applyBorder="1" applyAlignment="1">
      <alignment vertical="center"/>
    </xf>
    <xf numFmtId="166" fontId="6" fillId="3" borderId="0" xfId="0" applyNumberFormat="1" applyFont="1" applyFill="1" applyBorder="1" applyAlignment="1">
      <alignment vertical="center"/>
    </xf>
    <xf numFmtId="166" fontId="6" fillId="3" borderId="15" xfId="0" applyNumberFormat="1" applyFont="1" applyFill="1" applyBorder="1" applyAlignment="1">
      <alignment vertical="center"/>
    </xf>
    <xf numFmtId="44" fontId="5" fillId="6" borderId="4" xfId="2" applyFont="1" applyFill="1" applyBorder="1" applyAlignment="1">
      <alignment horizontal="center" vertical="center"/>
    </xf>
    <xf numFmtId="44" fontId="17" fillId="6" borderId="2" xfId="2" applyFont="1" applyFill="1" applyBorder="1" applyAlignment="1">
      <alignment horizontal="center" vertical="center"/>
    </xf>
    <xf numFmtId="0" fontId="17" fillId="6" borderId="5" xfId="0" applyNumberFormat="1" applyFont="1" applyFill="1" applyBorder="1" applyAlignment="1">
      <alignment horizontal="right" vertical="center"/>
    </xf>
    <xf numFmtId="165" fontId="0" fillId="6" borderId="4" xfId="0" applyNumberFormat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0" fillId="2" borderId="0" xfId="0" applyFill="1" applyBorder="1"/>
    <xf numFmtId="0" fontId="0" fillId="5" borderId="5" xfId="0" applyFill="1" applyBorder="1" applyAlignment="1">
      <alignment horizontal="center" vertical="center"/>
    </xf>
    <xf numFmtId="164" fontId="2" fillId="7" borderId="0" xfId="0" applyNumberFormat="1" applyFont="1" applyFill="1" applyAlignment="1">
      <alignment horizontal="center"/>
    </xf>
    <xf numFmtId="49" fontId="0" fillId="7" borderId="0" xfId="0" applyNumberFormat="1" applyFill="1"/>
    <xf numFmtId="49" fontId="0" fillId="3" borderId="0" xfId="0" applyNumberFormat="1" applyFill="1"/>
    <xf numFmtId="49" fontId="0" fillId="2" borderId="0" xfId="0" applyNumberFormat="1" applyFill="1"/>
    <xf numFmtId="49" fontId="0" fillId="2" borderId="1" xfId="0" applyNumberFormat="1" applyFill="1" applyBorder="1"/>
    <xf numFmtId="49" fontId="0" fillId="5" borderId="4" xfId="0" applyNumberFormat="1" applyFill="1" applyBorder="1" applyAlignment="1">
      <alignment horizontal="left" vertical="center"/>
    </xf>
    <xf numFmtId="49" fontId="0" fillId="16" borderId="0" xfId="0" applyNumberFormat="1" applyFill="1" applyBorder="1" applyAlignment="1">
      <alignment horizontal="left" vertical="center"/>
    </xf>
    <xf numFmtId="49" fontId="0" fillId="0" borderId="0" xfId="0" applyNumberFormat="1" applyFill="1" applyBorder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49" fontId="0" fillId="3" borderId="0" xfId="0" applyNumberFormat="1" applyFill="1" applyAlignment="1">
      <alignment horizontal="left" vertical="center"/>
    </xf>
    <xf numFmtId="49" fontId="0" fillId="7" borderId="0" xfId="0" applyNumberForma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4" fillId="7" borderId="0" xfId="0" applyFont="1" applyFill="1"/>
    <xf numFmtId="14" fontId="21" fillId="11" borderId="29" xfId="0" applyNumberFormat="1" applyFont="1" applyFill="1" applyBorder="1" applyAlignment="1">
      <alignment horizontal="center" vertical="center"/>
    </xf>
    <xf numFmtId="0" fontId="20" fillId="18" borderId="29" xfId="0" applyFont="1" applyFill="1" applyBorder="1" applyAlignment="1">
      <alignment horizontal="center" vertical="center"/>
    </xf>
    <xf numFmtId="14" fontId="28" fillId="7" borderId="0" xfId="0" applyNumberFormat="1" applyFont="1" applyFill="1" applyAlignment="1">
      <alignment horizontal="left" vertical="top"/>
    </xf>
    <xf numFmtId="2" fontId="29" fillId="12" borderId="0" xfId="0" applyNumberFormat="1" applyFont="1" applyFill="1" applyBorder="1" applyAlignment="1">
      <alignment horizontal="right" vertical="center"/>
    </xf>
    <xf numFmtId="2" fontId="29" fillId="12" borderId="23" xfId="0" applyNumberFormat="1" applyFont="1" applyFill="1" applyBorder="1" applyAlignment="1">
      <alignment horizontal="left" vertical="center"/>
    </xf>
    <xf numFmtId="0" fontId="0" fillId="17" borderId="24" xfId="0" applyFill="1" applyBorder="1"/>
    <xf numFmtId="0" fontId="0" fillId="17" borderId="32" xfId="0" applyFill="1" applyBorder="1"/>
    <xf numFmtId="2" fontId="29" fillId="17" borderId="25" xfId="0" applyNumberFormat="1" applyFont="1" applyFill="1" applyBorder="1"/>
    <xf numFmtId="0" fontId="29" fillId="17" borderId="25" xfId="0" applyFont="1" applyFill="1" applyBorder="1"/>
    <xf numFmtId="0" fontId="0" fillId="17" borderId="33" xfId="0" applyFill="1" applyBorder="1"/>
    <xf numFmtId="0" fontId="29" fillId="17" borderId="9" xfId="0" applyFont="1" applyFill="1" applyBorder="1"/>
    <xf numFmtId="2" fontId="29" fillId="12" borderId="0" xfId="0" applyNumberFormat="1" applyFont="1" applyFill="1" applyBorder="1" applyAlignment="1">
      <alignment horizontal="left" vertical="center"/>
    </xf>
    <xf numFmtId="0" fontId="31" fillId="0" borderId="29" xfId="0" applyFont="1" applyBorder="1" applyAlignment="1">
      <alignment horizontal="center" vertical="center"/>
    </xf>
    <xf numFmtId="14" fontId="34" fillId="0" borderId="24" xfId="0" applyNumberFormat="1" applyFont="1" applyBorder="1" applyAlignment="1">
      <alignment horizontal="center" vertical="center"/>
    </xf>
    <xf numFmtId="14" fontId="18" fillId="0" borderId="31" xfId="0" applyNumberFormat="1" applyFont="1" applyBorder="1" applyAlignment="1">
      <alignment horizontal="center" vertical="center"/>
    </xf>
    <xf numFmtId="0" fontId="31" fillId="0" borderId="26" xfId="0" applyFont="1" applyBorder="1" applyAlignment="1">
      <alignment horizontal="right" vertical="center"/>
    </xf>
    <xf numFmtId="0" fontId="31" fillId="0" borderId="28" xfId="0" applyFont="1" applyBorder="1" applyAlignment="1">
      <alignment horizontal="left" vertical="center"/>
    </xf>
    <xf numFmtId="0" fontId="3" fillId="17" borderId="7" xfId="0" applyFont="1" applyFill="1" applyBorder="1" applyAlignment="1">
      <alignment horizontal="center" vertical="center"/>
    </xf>
    <xf numFmtId="166" fontId="6" fillId="17" borderId="5" xfId="0" applyNumberFormat="1" applyFont="1" applyFill="1" applyBorder="1" applyAlignment="1">
      <alignment horizontal="center" vertical="center"/>
    </xf>
    <xf numFmtId="166" fontId="6" fillId="17" borderId="18" xfId="0" applyNumberFormat="1" applyFont="1" applyFill="1" applyBorder="1" applyAlignment="1">
      <alignment horizontal="center" vertical="center"/>
    </xf>
    <xf numFmtId="166" fontId="6" fillId="17" borderId="4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center" vertical="center"/>
    </xf>
    <xf numFmtId="0" fontId="20" fillId="17" borderId="11" xfId="0" applyFont="1" applyFill="1" applyBorder="1" applyAlignment="1">
      <alignment horizontal="center" vertical="center"/>
    </xf>
    <xf numFmtId="0" fontId="20" fillId="17" borderId="12" xfId="0" applyFont="1" applyFill="1" applyBorder="1" applyAlignment="1">
      <alignment horizontal="center" vertical="center"/>
    </xf>
    <xf numFmtId="0" fontId="22" fillId="17" borderId="0" xfId="0" applyFont="1" applyFill="1" applyAlignment="1">
      <alignment horizontal="center" vertical="center"/>
    </xf>
    <xf numFmtId="0" fontId="22" fillId="17" borderId="0" xfId="0" applyFont="1" applyFill="1"/>
    <xf numFmtId="0" fontId="0" fillId="19" borderId="0" xfId="0" applyFill="1" applyAlignment="1">
      <alignment horizontal="center" vertical="center"/>
    </xf>
    <xf numFmtId="0" fontId="0" fillId="19" borderId="0" xfId="0" applyNumberFormat="1" applyFill="1" applyAlignment="1">
      <alignment horizontal="left" vertical="center"/>
    </xf>
    <xf numFmtId="0" fontId="0" fillId="19" borderId="0" xfId="0" applyNumberFormat="1" applyFont="1" applyFill="1"/>
    <xf numFmtId="0" fontId="23" fillId="12" borderId="5" xfId="0" applyFont="1" applyFill="1" applyBorder="1" applyAlignment="1">
      <alignment horizontal="right" vertical="center"/>
    </xf>
    <xf numFmtId="14" fontId="4" fillId="12" borderId="7" xfId="0" applyNumberFormat="1" applyFont="1" applyFill="1" applyBorder="1" applyAlignment="1">
      <alignment horizontal="center" vertical="center"/>
    </xf>
    <xf numFmtId="0" fontId="0" fillId="12" borderId="5" xfId="0" applyFill="1" applyBorder="1" applyAlignment="1">
      <alignment vertical="center"/>
    </xf>
    <xf numFmtId="0" fontId="0" fillId="12" borderId="6" xfId="0" applyFont="1" applyFill="1" applyBorder="1" applyAlignment="1" applyProtection="1">
      <alignment horizontal="center" vertical="center"/>
      <protection locked="0"/>
    </xf>
    <xf numFmtId="0" fontId="0" fillId="12" borderId="7" xfId="0" applyFont="1" applyFill="1" applyBorder="1" applyAlignment="1" applyProtection="1">
      <alignment horizontal="center" vertical="center"/>
      <protection locked="0"/>
    </xf>
    <xf numFmtId="0" fontId="0" fillId="12" borderId="6" xfId="0" applyFill="1" applyBorder="1" applyAlignment="1" applyProtection="1">
      <alignment horizontal="center" vertical="center"/>
      <protection locked="0"/>
    </xf>
    <xf numFmtId="0" fontId="0" fillId="12" borderId="7" xfId="0" applyFill="1" applyBorder="1" applyAlignment="1" applyProtection="1">
      <alignment horizontal="center" vertical="center"/>
      <protection locked="0"/>
    </xf>
    <xf numFmtId="0" fontId="0" fillId="12" borderId="5" xfId="0" applyFill="1" applyBorder="1" applyAlignment="1" applyProtection="1">
      <alignment horizontal="center" vertical="center"/>
      <protection locked="0"/>
    </xf>
    <xf numFmtId="0" fontId="0" fillId="12" borderId="2" xfId="0" applyFill="1" applyBorder="1" applyAlignment="1" applyProtection="1">
      <alignment horizontal="center" vertical="center"/>
      <protection locked="0"/>
    </xf>
    <xf numFmtId="0" fontId="0" fillId="12" borderId="2" xfId="0" applyNumberFormat="1" applyFill="1" applyBorder="1" applyAlignment="1" applyProtection="1">
      <alignment horizontal="right" vertical="center"/>
      <protection locked="0"/>
    </xf>
    <xf numFmtId="0" fontId="0" fillId="12" borderId="2" xfId="0" applyNumberFormat="1" applyFill="1" applyBorder="1" applyAlignment="1" applyProtection="1">
      <alignment horizontal="left" vertical="center"/>
      <protection locked="0"/>
    </xf>
    <xf numFmtId="44" fontId="0" fillId="12" borderId="4" xfId="2" applyFont="1" applyFill="1" applyBorder="1" applyAlignment="1" applyProtection="1">
      <alignment horizontal="center" vertical="center"/>
      <protection locked="0"/>
    </xf>
    <xf numFmtId="44" fontId="17" fillId="12" borderId="4" xfId="2" applyFont="1" applyFill="1" applyBorder="1" applyAlignment="1">
      <alignment horizontal="center" vertical="center"/>
    </xf>
    <xf numFmtId="0" fontId="22" fillId="17" borderId="29" xfId="0" applyFont="1" applyFill="1" applyBorder="1" applyAlignment="1">
      <alignment horizontal="center" vertical="center"/>
    </xf>
    <xf numFmtId="44" fontId="15" fillId="0" borderId="29" xfId="2" applyFont="1" applyFill="1" applyBorder="1" applyAlignment="1">
      <alignment horizontal="center" vertical="center"/>
    </xf>
    <xf numFmtId="0" fontId="15" fillId="0" borderId="30" xfId="0" applyFont="1" applyBorder="1" applyAlignment="1" applyProtection="1">
      <alignment horizontal="center" vertical="center"/>
      <protection locked="0"/>
    </xf>
    <xf numFmtId="0" fontId="0" fillId="0" borderId="34" xfId="0" applyBorder="1" applyAlignment="1">
      <alignment horizontal="center" vertical="center"/>
    </xf>
    <xf numFmtId="0" fontId="15" fillId="0" borderId="29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 applyProtection="1">
      <alignment horizontal="center" vertical="center" wrapText="1"/>
      <protection locked="0"/>
    </xf>
    <xf numFmtId="0" fontId="5" fillId="5" borderId="29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35" fillId="0" borderId="0" xfId="0" applyFont="1" applyFill="1"/>
    <xf numFmtId="0" fontId="36" fillId="0" borderId="0" xfId="0" applyFont="1" applyFill="1" applyBorder="1" applyAlignment="1">
      <alignment horizontal="center" vertical="center"/>
    </xf>
    <xf numFmtId="164" fontId="2" fillId="7" borderId="0" xfId="0" applyNumberFormat="1" applyFont="1" applyFill="1" applyAlignment="1">
      <alignment horizontal="center"/>
    </xf>
    <xf numFmtId="0" fontId="20" fillId="15" borderId="29" xfId="0" applyFont="1" applyFill="1" applyBorder="1" applyAlignment="1">
      <alignment horizontal="center" vertical="center"/>
    </xf>
    <xf numFmtId="0" fontId="28" fillId="7" borderId="0" xfId="0" applyFont="1" applyFill="1" applyAlignment="1">
      <alignment horizontal="center"/>
    </xf>
    <xf numFmtId="44" fontId="17" fillId="0" borderId="0" xfId="2" applyFont="1"/>
    <xf numFmtId="7" fontId="30" fillId="0" borderId="29" xfId="0" applyNumberFormat="1" applyFont="1" applyBorder="1" applyAlignment="1">
      <alignment horizontal="center" vertical="center"/>
    </xf>
    <xf numFmtId="164" fontId="2" fillId="7" borderId="0" xfId="0" applyNumberFormat="1" applyFont="1" applyFill="1" applyAlignment="1">
      <alignment horizontal="center"/>
    </xf>
    <xf numFmtId="14" fontId="21" fillId="11" borderId="26" xfId="0" quotePrefix="1" applyNumberFormat="1" applyFont="1" applyFill="1" applyBorder="1" applyAlignment="1">
      <alignment horizontal="center" vertical="center"/>
    </xf>
    <xf numFmtId="0" fontId="28" fillId="7" borderId="0" xfId="0" applyFont="1" applyFill="1"/>
    <xf numFmtId="0" fontId="21" fillId="17" borderId="29" xfId="0" applyFont="1" applyFill="1" applyBorder="1" applyAlignment="1">
      <alignment horizontal="center" vertical="center"/>
    </xf>
    <xf numFmtId="2" fontId="29" fillId="17" borderId="9" xfId="0" applyNumberFormat="1" applyFont="1" applyFill="1" applyBorder="1"/>
    <xf numFmtId="166" fontId="31" fillId="0" borderId="29" xfId="0" applyNumberFormat="1" applyFont="1" applyBorder="1" applyAlignment="1">
      <alignment horizontal="center" vertical="center"/>
    </xf>
    <xf numFmtId="0" fontId="28" fillId="7" borderId="0" xfId="0" applyNumberFormat="1" applyFont="1" applyFill="1" applyAlignment="1">
      <alignment horizontal="left" vertical="top"/>
    </xf>
    <xf numFmtId="14" fontId="0" fillId="7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14" fontId="22" fillId="17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6" fontId="0" fillId="7" borderId="0" xfId="0" applyNumberFormat="1" applyFill="1"/>
    <xf numFmtId="166" fontId="0" fillId="3" borderId="0" xfId="0" applyNumberFormat="1" applyFill="1"/>
    <xf numFmtId="166" fontId="0" fillId="2" borderId="0" xfId="0" applyNumberFormat="1" applyFill="1"/>
    <xf numFmtId="166" fontId="0" fillId="2" borderId="1" xfId="0" applyNumberFormat="1" applyFill="1" applyBorder="1"/>
    <xf numFmtId="166" fontId="22" fillId="17" borderId="0" xfId="0" applyNumberFormat="1" applyFont="1" applyFill="1"/>
    <xf numFmtId="166" fontId="0" fillId="0" borderId="0" xfId="0" applyNumberFormat="1"/>
    <xf numFmtId="0" fontId="4" fillId="0" borderId="29" xfId="0" applyNumberFormat="1" applyFont="1" applyBorder="1" applyAlignment="1">
      <alignment horizontal="center" vertical="center"/>
    </xf>
    <xf numFmtId="0" fontId="0" fillId="17" borderId="26" xfId="0" applyFill="1" applyBorder="1"/>
    <xf numFmtId="0" fontId="0" fillId="17" borderId="27" xfId="0" applyFill="1" applyBorder="1"/>
    <xf numFmtId="2" fontId="29" fillId="17" borderId="27" xfId="0" applyNumberFormat="1" applyFont="1" applyFill="1" applyBorder="1"/>
    <xf numFmtId="0" fontId="29" fillId="17" borderId="27" xfId="0" applyFont="1" applyFill="1" applyBorder="1"/>
    <xf numFmtId="0" fontId="0" fillId="7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0" fontId="0" fillId="2" borderId="1" xfId="0" applyNumberFormat="1" applyFill="1" applyBorder="1"/>
    <xf numFmtId="0" fontId="0" fillId="0" borderId="0" xfId="0" applyNumberFormat="1"/>
    <xf numFmtId="14" fontId="0" fillId="0" borderId="26" xfId="0" applyNumberFormat="1" applyBorder="1" applyAlignment="1">
      <alignment horizontal="right" vertical="center"/>
    </xf>
    <xf numFmtId="0" fontId="0" fillId="0" borderId="27" xfId="0" applyBorder="1" applyAlignment="1">
      <alignment horizontal="center" vertical="center"/>
    </xf>
    <xf numFmtId="14" fontId="0" fillId="0" borderId="28" xfId="0" applyNumberFormat="1" applyBorder="1" applyAlignment="1">
      <alignment horizontal="left" vertical="center"/>
    </xf>
    <xf numFmtId="0" fontId="0" fillId="0" borderId="45" xfId="0" applyBorder="1"/>
    <xf numFmtId="0" fontId="0" fillId="0" borderId="2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" fillId="0" borderId="51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horizontal="center" vertical="center"/>
    </xf>
    <xf numFmtId="0" fontId="40" fillId="0" borderId="4" xfId="0" applyNumberFormat="1" applyFont="1" applyFill="1" applyBorder="1" applyAlignment="1">
      <alignment horizontal="left" vertical="center"/>
    </xf>
    <xf numFmtId="0" fontId="0" fillId="0" borderId="38" xfId="1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5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1" applyNumberFormat="1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43" xfId="1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6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8" xfId="0" applyNumberFormat="1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8" xfId="0" applyNumberFormat="1" applyBorder="1" applyAlignment="1">
      <alignment vertical="center"/>
    </xf>
    <xf numFmtId="0" fontId="0" fillId="0" borderId="44" xfId="0" applyBorder="1" applyAlignment="1">
      <alignment vertical="center"/>
    </xf>
    <xf numFmtId="0" fontId="0" fillId="6" borderId="38" xfId="0" applyFill="1" applyBorder="1" applyAlignment="1">
      <alignment vertical="center"/>
    </xf>
    <xf numFmtId="0" fontId="0" fillId="6" borderId="16" xfId="0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47" xfId="0" applyBorder="1" applyAlignment="1">
      <alignment vertical="center"/>
    </xf>
    <xf numFmtId="0" fontId="0" fillId="0" borderId="48" xfId="0" applyNumberFormat="1" applyBorder="1" applyAlignment="1">
      <alignment vertical="center"/>
    </xf>
    <xf numFmtId="0" fontId="0" fillId="0" borderId="49" xfId="0" applyBorder="1" applyAlignment="1">
      <alignment vertical="center"/>
    </xf>
    <xf numFmtId="0" fontId="40" fillId="0" borderId="48" xfId="2" applyNumberFormat="1" applyFont="1" applyBorder="1" applyAlignment="1">
      <alignment vertical="center"/>
    </xf>
    <xf numFmtId="0" fontId="0" fillId="0" borderId="25" xfId="0" applyNumberFormat="1" applyBorder="1" applyAlignment="1">
      <alignment vertical="center"/>
    </xf>
    <xf numFmtId="0" fontId="0" fillId="0" borderId="50" xfId="0" applyBorder="1" applyAlignment="1">
      <alignment vertical="center"/>
    </xf>
    <xf numFmtId="0" fontId="40" fillId="0" borderId="5" xfId="0" applyNumberFormat="1" applyFont="1" applyFill="1" applyBorder="1" applyAlignment="1">
      <alignment horizontal="center" vertical="center"/>
    </xf>
    <xf numFmtId="0" fontId="0" fillId="17" borderId="26" xfId="1" applyNumberFormat="1" applyFont="1" applyFill="1" applyBorder="1" applyAlignment="1">
      <alignment vertical="center"/>
    </xf>
    <xf numFmtId="0" fontId="7" fillId="17" borderId="52" xfId="0" applyFont="1" applyFill="1" applyBorder="1" applyAlignment="1">
      <alignment horizontal="center" vertical="center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vertical="center"/>
    </xf>
    <xf numFmtId="0" fontId="0" fillId="7" borderId="0" xfId="0" applyNumberFormat="1" applyFill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17" borderId="53" xfId="0" applyNumberFormat="1" applyFill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33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41" fillId="7" borderId="0" xfId="0" applyFont="1" applyFill="1"/>
    <xf numFmtId="164" fontId="42" fillId="7" borderId="0" xfId="0" applyNumberFormat="1" applyFont="1" applyFill="1" applyAlignment="1"/>
    <xf numFmtId="0" fontId="41" fillId="3" borderId="0" xfId="0" applyFont="1" applyFill="1"/>
    <xf numFmtId="0" fontId="41" fillId="2" borderId="0" xfId="0" applyFont="1" applyFill="1"/>
    <xf numFmtId="0" fontId="41" fillId="2" borderId="1" xfId="0" applyFont="1" applyFill="1" applyBorder="1"/>
    <xf numFmtId="0" fontId="41" fillId="0" borderId="0" xfId="0" applyFont="1"/>
    <xf numFmtId="0" fontId="41" fillId="0" borderId="0" xfId="0" applyFont="1" applyFill="1" applyBorder="1"/>
    <xf numFmtId="0" fontId="43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0" fillId="4" borderId="6" xfId="1" applyNumberFormat="1" applyFont="1" applyFill="1" applyBorder="1"/>
    <xf numFmtId="0" fontId="2" fillId="4" borderId="2" xfId="0" applyFont="1" applyFill="1" applyBorder="1" applyAlignment="1">
      <alignment horizontal="center" vertical="center"/>
    </xf>
    <xf numFmtId="0" fontId="7" fillId="17" borderId="13" xfId="0" applyFont="1" applyFill="1" applyBorder="1" applyAlignment="1">
      <alignment horizontal="center" vertical="center"/>
    </xf>
    <xf numFmtId="0" fontId="46" fillId="13" borderId="0" xfId="0" applyFont="1" applyFill="1" applyAlignment="1">
      <alignment horizontal="center" vertical="center"/>
    </xf>
    <xf numFmtId="0" fontId="29" fillId="6" borderId="0" xfId="0" applyFont="1" applyFill="1" applyBorder="1" applyAlignment="1" applyProtection="1">
      <alignment horizontal="center"/>
      <protection locked="0"/>
    </xf>
    <xf numFmtId="164" fontId="42" fillId="7" borderId="0" xfId="0" applyNumberFormat="1" applyFont="1" applyFill="1" applyAlignment="1">
      <alignment horizontal="center"/>
    </xf>
    <xf numFmtId="0" fontId="0" fillId="12" borderId="5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165" fontId="18" fillId="12" borderId="16" xfId="0" applyNumberFormat="1" applyFont="1" applyFill="1" applyBorder="1" applyAlignment="1">
      <alignment horizontal="right" vertical="center"/>
    </xf>
    <xf numFmtId="165" fontId="18" fillId="12" borderId="1" xfId="0" applyNumberFormat="1" applyFont="1" applyFill="1" applyBorder="1" applyAlignment="1">
      <alignment horizontal="right" vertical="center"/>
    </xf>
    <xf numFmtId="164" fontId="2" fillId="7" borderId="0" xfId="0" applyNumberFormat="1" applyFont="1" applyFill="1" applyAlignment="1">
      <alignment horizontal="center"/>
    </xf>
    <xf numFmtId="0" fontId="7" fillId="17" borderId="26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166" fontId="19" fillId="0" borderId="19" xfId="0" applyNumberFormat="1" applyFont="1" applyBorder="1" applyAlignment="1">
      <alignment horizontal="center" vertical="center"/>
    </xf>
    <xf numFmtId="166" fontId="19" fillId="0" borderId="20" xfId="0" applyNumberFormat="1" applyFont="1" applyBorder="1" applyAlignment="1">
      <alignment horizontal="center" vertical="center"/>
    </xf>
    <xf numFmtId="166" fontId="19" fillId="0" borderId="21" xfId="0" applyNumberFormat="1" applyFont="1" applyBorder="1" applyAlignment="1">
      <alignment horizontal="center" vertical="center"/>
    </xf>
    <xf numFmtId="166" fontId="19" fillId="0" borderId="22" xfId="0" applyNumberFormat="1" applyFont="1" applyBorder="1" applyAlignment="1">
      <alignment horizontal="center" vertical="center"/>
    </xf>
    <xf numFmtId="166" fontId="19" fillId="0" borderId="0" xfId="0" applyNumberFormat="1" applyFont="1" applyBorder="1" applyAlignment="1">
      <alignment horizontal="center" vertical="center"/>
    </xf>
    <xf numFmtId="166" fontId="19" fillId="0" borderId="23" xfId="0" applyNumberFormat="1" applyFont="1" applyBorder="1" applyAlignment="1">
      <alignment horizontal="center" vertical="center"/>
    </xf>
    <xf numFmtId="166" fontId="19" fillId="0" borderId="24" xfId="0" applyNumberFormat="1" applyFont="1" applyBorder="1" applyAlignment="1">
      <alignment horizontal="center" vertical="center"/>
    </xf>
    <xf numFmtId="166" fontId="19" fillId="0" borderId="25" xfId="0" applyNumberFormat="1" applyFont="1" applyBorder="1" applyAlignment="1">
      <alignment horizontal="center" vertical="center"/>
    </xf>
    <xf numFmtId="166" fontId="19" fillId="0" borderId="9" xfId="0" applyNumberFormat="1" applyFont="1" applyBorder="1" applyAlignment="1">
      <alignment horizontal="center" vertical="center"/>
    </xf>
    <xf numFmtId="0" fontId="22" fillId="17" borderId="30" xfId="0" applyFont="1" applyFill="1" applyBorder="1" applyAlignment="1">
      <alignment horizontal="center" vertical="center"/>
    </xf>
    <xf numFmtId="0" fontId="22" fillId="17" borderId="34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 wrapText="1"/>
    </xf>
    <xf numFmtId="0" fontId="4" fillId="12" borderId="4" xfId="0" applyFont="1" applyFill="1" applyBorder="1" applyAlignment="1">
      <alignment horizontal="center" vertical="center" wrapText="1"/>
    </xf>
    <xf numFmtId="166" fontId="7" fillId="17" borderId="5" xfId="0" applyNumberFormat="1" applyFont="1" applyFill="1" applyBorder="1" applyAlignment="1">
      <alignment horizontal="center" vertical="center"/>
    </xf>
    <xf numFmtId="166" fontId="7" fillId="17" borderId="18" xfId="0" applyNumberFormat="1" applyFont="1" applyFill="1" applyBorder="1" applyAlignment="1">
      <alignment horizontal="center" vertical="center"/>
    </xf>
    <xf numFmtId="166" fontId="7" fillId="17" borderId="14" xfId="0" applyNumberFormat="1" applyFont="1" applyFill="1" applyBorder="1" applyAlignment="1">
      <alignment horizontal="center" vertical="center"/>
    </xf>
    <xf numFmtId="166" fontId="7" fillId="17" borderId="0" xfId="0" applyNumberFormat="1" applyFont="1" applyFill="1" applyBorder="1" applyAlignment="1">
      <alignment horizontal="center" vertical="center"/>
    </xf>
    <xf numFmtId="0" fontId="33" fillId="17" borderId="26" xfId="0" applyFont="1" applyFill="1" applyBorder="1" applyAlignment="1">
      <alignment horizontal="center" vertical="center"/>
    </xf>
    <xf numFmtId="0" fontId="32" fillId="17" borderId="27" xfId="0" applyFont="1" applyFill="1" applyBorder="1" applyAlignment="1">
      <alignment horizontal="center" vertical="center"/>
    </xf>
    <xf numFmtId="0" fontId="32" fillId="17" borderId="28" xfId="0" applyFont="1" applyFill="1" applyBorder="1" applyAlignment="1">
      <alignment horizontal="center" vertical="center"/>
    </xf>
    <xf numFmtId="0" fontId="39" fillId="0" borderId="26" xfId="0" applyFont="1" applyBorder="1" applyAlignment="1">
      <alignment horizontal="center" vertical="center"/>
    </xf>
    <xf numFmtId="0" fontId="39" fillId="0" borderId="27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20" fillId="5" borderId="26" xfId="0" applyFont="1" applyFill="1" applyBorder="1" applyAlignment="1">
      <alignment horizontal="center" vertical="center"/>
    </xf>
    <xf numFmtId="0" fontId="20" fillId="5" borderId="28" xfId="0" applyFont="1" applyFill="1" applyBorder="1" applyAlignment="1">
      <alignment horizontal="center" vertical="center"/>
    </xf>
    <xf numFmtId="0" fontId="17" fillId="12" borderId="19" xfId="0" applyFont="1" applyFill="1" applyBorder="1" applyAlignment="1">
      <alignment horizontal="center" vertical="center"/>
    </xf>
    <xf numFmtId="0" fontId="17" fillId="12" borderId="22" xfId="0" applyFont="1" applyFill="1" applyBorder="1" applyAlignment="1">
      <alignment horizontal="center" vertical="center"/>
    </xf>
    <xf numFmtId="0" fontId="17" fillId="12" borderId="24" xfId="0" applyFont="1" applyFill="1" applyBorder="1" applyAlignment="1">
      <alignment horizontal="center" vertical="center"/>
    </xf>
    <xf numFmtId="0" fontId="29" fillId="12" borderId="20" xfId="0" applyFont="1" applyFill="1" applyBorder="1" applyAlignment="1">
      <alignment horizontal="center"/>
    </xf>
    <xf numFmtId="0" fontId="29" fillId="12" borderId="21" xfId="0" applyFont="1" applyFill="1" applyBorder="1" applyAlignment="1">
      <alignment horizontal="center"/>
    </xf>
    <xf numFmtId="0" fontId="29" fillId="12" borderId="25" xfId="0" applyFont="1" applyFill="1" applyBorder="1" applyAlignment="1">
      <alignment horizontal="center"/>
    </xf>
    <xf numFmtId="0" fontId="29" fillId="12" borderId="9" xfId="0" applyFont="1" applyFill="1" applyBorder="1" applyAlignment="1">
      <alignment horizontal="center"/>
    </xf>
    <xf numFmtId="14" fontId="21" fillId="11" borderId="26" xfId="0" quotePrefix="1" applyNumberFormat="1" applyFont="1" applyFill="1" applyBorder="1" applyAlignment="1">
      <alignment horizontal="center" vertical="center"/>
    </xf>
    <xf numFmtId="14" fontId="21" fillId="11" borderId="28" xfId="0" quotePrefix="1" applyNumberFormat="1" applyFont="1" applyFill="1" applyBorder="1" applyAlignment="1">
      <alignment horizontal="center" vertical="center"/>
    </xf>
    <xf numFmtId="0" fontId="21" fillId="17" borderId="26" xfId="0" applyFont="1" applyFill="1" applyBorder="1" applyAlignment="1">
      <alignment horizontal="center" vertical="center"/>
    </xf>
    <xf numFmtId="0" fontId="8" fillId="17" borderId="27" xfId="0" applyFont="1" applyFill="1" applyBorder="1" applyAlignment="1">
      <alignment horizontal="center" vertical="center"/>
    </xf>
    <xf numFmtId="0" fontId="8" fillId="17" borderId="28" xfId="0" applyFont="1" applyFill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0" fillId="0" borderId="21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7" fillId="17" borderId="37" xfId="0" applyNumberFormat="1" applyFont="1" applyFill="1" applyBorder="1" applyAlignment="1">
      <alignment horizontal="center" vertical="center"/>
    </xf>
    <xf numFmtId="0" fontId="7" fillId="17" borderId="20" xfId="0" applyNumberFormat="1" applyFont="1" applyFill="1" applyBorder="1" applyAlignment="1">
      <alignment horizontal="center" vertical="center"/>
    </xf>
    <xf numFmtId="0" fontId="7" fillId="17" borderId="27" xfId="0" applyNumberFormat="1" applyFont="1" applyFill="1" applyBorder="1" applyAlignment="1">
      <alignment horizontal="center" vertical="center"/>
    </xf>
    <xf numFmtId="0" fontId="7" fillId="17" borderId="54" xfId="0" applyNumberFormat="1" applyFont="1" applyFill="1" applyBorder="1" applyAlignment="1">
      <alignment horizontal="center" vertical="center"/>
    </xf>
    <xf numFmtId="0" fontId="7" fillId="17" borderId="53" xfId="0" applyNumberFormat="1" applyFont="1" applyFill="1" applyBorder="1" applyAlignment="1">
      <alignment horizontal="center" vertical="center"/>
    </xf>
    <xf numFmtId="0" fontId="18" fillId="6" borderId="5" xfId="0" applyNumberFormat="1" applyFont="1" applyFill="1" applyBorder="1" applyAlignment="1">
      <alignment horizontal="center" vertical="center"/>
    </xf>
    <xf numFmtId="0" fontId="18" fillId="6" borderId="4" xfId="0" applyNumberFormat="1" applyFont="1" applyFill="1" applyBorder="1" applyAlignment="1">
      <alignment horizontal="center" vertical="center"/>
    </xf>
    <xf numFmtId="0" fontId="18" fillId="0" borderId="35" xfId="0" applyNumberFormat="1" applyFont="1" applyBorder="1" applyAlignment="1">
      <alignment horizontal="center" vertical="center"/>
    </xf>
    <xf numFmtId="0" fontId="18" fillId="0" borderId="36" xfId="0" applyNumberFormat="1" applyFont="1" applyBorder="1" applyAlignment="1">
      <alignment horizontal="center" vertical="center"/>
    </xf>
    <xf numFmtId="0" fontId="7" fillId="17" borderId="37" xfId="0" applyFont="1" applyFill="1" applyBorder="1" applyAlignment="1">
      <alignment horizontal="center" vertical="center"/>
    </xf>
    <xf numFmtId="0" fontId="7" fillId="17" borderId="20" xfId="0" applyFont="1" applyFill="1" applyBorder="1" applyAlignment="1">
      <alignment horizontal="center" vertical="center"/>
    </xf>
    <xf numFmtId="166" fontId="34" fillId="0" borderId="14" xfId="0" applyNumberFormat="1" applyFont="1" applyFill="1" applyBorder="1" applyAlignment="1">
      <alignment horizontal="center" vertical="center"/>
    </xf>
    <xf numFmtId="166" fontId="34" fillId="0" borderId="0" xfId="0" applyNumberFormat="1" applyFont="1" applyFill="1" applyBorder="1" applyAlignment="1">
      <alignment horizontal="center" vertical="center"/>
    </xf>
    <xf numFmtId="166" fontId="34" fillId="0" borderId="16" xfId="0" applyNumberFormat="1" applyFont="1" applyFill="1" applyBorder="1" applyAlignment="1">
      <alignment horizontal="center" vertical="center"/>
    </xf>
    <xf numFmtId="166" fontId="34" fillId="0" borderId="1" xfId="0" applyNumberFormat="1" applyFont="1" applyFill="1" applyBorder="1" applyAlignment="1">
      <alignment horizontal="center" vertical="center"/>
    </xf>
    <xf numFmtId="166" fontId="7" fillId="17" borderId="53" xfId="0" applyNumberFormat="1" applyFont="1" applyFill="1" applyBorder="1" applyAlignment="1">
      <alignment horizontal="center" vertical="center"/>
    </xf>
    <xf numFmtId="166" fontId="7" fillId="17" borderId="27" xfId="0" applyNumberFormat="1" applyFont="1" applyFill="1" applyBorder="1" applyAlignment="1">
      <alignment horizontal="center" vertical="center"/>
    </xf>
    <xf numFmtId="166" fontId="7" fillId="17" borderId="54" xfId="0" applyNumberFormat="1" applyFont="1" applyFill="1" applyBorder="1" applyAlignment="1">
      <alignment horizontal="center" vertical="center"/>
    </xf>
    <xf numFmtId="0" fontId="7" fillId="17" borderId="55" xfId="0" applyNumberFormat="1" applyFont="1" applyFill="1" applyBorder="1" applyAlignment="1">
      <alignment horizontal="center" vertical="center"/>
    </xf>
    <xf numFmtId="0" fontId="30" fillId="0" borderId="19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0" fontId="30" fillId="0" borderId="21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23" xfId="0" applyFont="1" applyBorder="1" applyAlignment="1">
      <alignment horizontal="center"/>
    </xf>
    <xf numFmtId="0" fontId="37" fillId="0" borderId="24" xfId="0" applyFont="1" applyBorder="1" applyAlignment="1">
      <alignment horizontal="center" vertical="top" wrapText="1"/>
    </xf>
    <xf numFmtId="0" fontId="37" fillId="0" borderId="25" xfId="0" applyFont="1" applyBorder="1" applyAlignment="1">
      <alignment horizontal="center" vertical="top" wrapText="1"/>
    </xf>
    <xf numFmtId="0" fontId="37" fillId="0" borderId="9" xfId="0" applyFont="1" applyBorder="1" applyAlignment="1">
      <alignment horizontal="center" vertical="top" wrapText="1"/>
    </xf>
    <xf numFmtId="0" fontId="21" fillId="17" borderId="27" xfId="0" applyFont="1" applyFill="1" applyBorder="1" applyAlignment="1">
      <alignment horizontal="center" vertical="center"/>
    </xf>
    <xf numFmtId="0" fontId="21" fillId="17" borderId="28" xfId="0" applyFont="1" applyFill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 wrapText="1"/>
    </xf>
    <xf numFmtId="0" fontId="17" fillId="0" borderId="25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166" fontId="38" fillId="20" borderId="26" xfId="2" applyNumberFormat="1" applyFont="1" applyFill="1" applyBorder="1" applyAlignment="1">
      <alignment horizontal="center" vertical="center"/>
    </xf>
    <xf numFmtId="166" fontId="38" fillId="20" borderId="28" xfId="2" applyNumberFormat="1" applyFont="1" applyFill="1" applyBorder="1" applyAlignment="1">
      <alignment horizontal="center" vertical="center"/>
    </xf>
    <xf numFmtId="7" fontId="38" fillId="21" borderId="26" xfId="0" applyNumberFormat="1" applyFont="1" applyFill="1" applyBorder="1" applyAlignment="1">
      <alignment horizontal="center" vertical="center"/>
    </xf>
    <xf numFmtId="7" fontId="38" fillId="21" borderId="28" xfId="0" applyNumberFormat="1" applyFont="1" applyFill="1" applyBorder="1" applyAlignment="1">
      <alignment horizontal="center" vertical="center"/>
    </xf>
    <xf numFmtId="7" fontId="38" fillId="20" borderId="26" xfId="0" applyNumberFormat="1" applyFont="1" applyFill="1" applyBorder="1" applyAlignment="1">
      <alignment horizontal="center" vertical="center"/>
    </xf>
    <xf numFmtId="7" fontId="38" fillId="20" borderId="28" xfId="0" applyNumberFormat="1" applyFont="1" applyFill="1" applyBorder="1" applyAlignment="1">
      <alignment horizontal="center" vertical="center"/>
    </xf>
    <xf numFmtId="165" fontId="5" fillId="6" borderId="5" xfId="0" applyNumberFormat="1" applyFont="1" applyFill="1" applyBorder="1" applyAlignment="1">
      <alignment horizontal="center" vertical="center"/>
    </xf>
    <xf numFmtId="165" fontId="5" fillId="6" borderId="4" xfId="0" applyNumberFormat="1" applyFont="1" applyFill="1" applyBorder="1" applyAlignment="1">
      <alignment horizontal="center" vertical="center"/>
    </xf>
    <xf numFmtId="164" fontId="2" fillId="13" borderId="0" xfId="0" applyNumberFormat="1" applyFont="1" applyFill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17" xfId="0" applyFill="1" applyBorder="1" applyAlignment="1">
      <alignment horizontal="center" vertical="center" wrapText="1"/>
    </xf>
    <xf numFmtId="0" fontId="7" fillId="17" borderId="14" xfId="0" applyFont="1" applyFill="1" applyBorder="1" applyAlignment="1">
      <alignment horizontal="center" vertical="center"/>
    </xf>
    <xf numFmtId="0" fontId="7" fillId="17" borderId="0" xfId="0" applyFont="1" applyFill="1" applyAlignment="1">
      <alignment horizontal="center" vertical="center"/>
    </xf>
    <xf numFmtId="166" fontId="6" fillId="0" borderId="5" xfId="0" applyNumberFormat="1" applyFont="1" applyFill="1" applyBorder="1" applyAlignment="1">
      <alignment horizontal="center" vertical="center"/>
    </xf>
    <xf numFmtId="166" fontId="6" fillId="0" borderId="18" xfId="0" applyNumberFormat="1" applyFont="1" applyFill="1" applyBorder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2">
    <dxf>
      <font>
        <color auto="1"/>
      </font>
      <fill>
        <patternFill>
          <bgColor rgb="FFC0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5" Type="http://schemas.microsoft.com/office/2007/relationships/hdphoto" Target="../media/hdphoto1.wdp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g"/><Relationship Id="rId2" Type="http://schemas.openxmlformats.org/officeDocument/2006/relationships/image" Target="../media/image2.png"/><Relationship Id="rId1" Type="http://schemas.openxmlformats.org/officeDocument/2006/relationships/image" Target="../media/image5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5" Type="http://schemas.openxmlformats.org/officeDocument/2006/relationships/image" Target="../media/image8.svg"/><Relationship Id="rId4" Type="http://schemas.openxmlformats.org/officeDocument/2006/relationships/image" Target="../media/image7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428625</xdr:colOff>
      <xdr:row>8</xdr:row>
      <xdr:rowOff>76200</xdr:rowOff>
    </xdr:from>
    <xdr:to>
      <xdr:col>13</xdr:col>
      <xdr:colOff>21772</xdr:colOff>
      <xdr:row>25</xdr:row>
      <xdr:rowOff>159873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7475" y="1495425"/>
          <a:ext cx="5362575" cy="3465048"/>
        </a:xfrm>
        <a:prstGeom prst="rect">
          <a:avLst/>
        </a:prstGeom>
      </xdr:spPr>
    </xdr:pic>
    <xdr:clientData/>
  </xdr:twoCellAnchor>
  <xdr:twoCellAnchor editAs="absolute">
    <xdr:from>
      <xdr:col>6</xdr:col>
      <xdr:colOff>423863</xdr:colOff>
      <xdr:row>25</xdr:row>
      <xdr:rowOff>28575</xdr:rowOff>
    </xdr:from>
    <xdr:to>
      <xdr:col>8</xdr:col>
      <xdr:colOff>566737</xdr:colOff>
      <xdr:row>33</xdr:row>
      <xdr:rowOff>200024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3113" y="4829175"/>
          <a:ext cx="1581149" cy="1581149"/>
        </a:xfrm>
        <a:prstGeom prst="rect">
          <a:avLst/>
        </a:prstGeom>
      </xdr:spPr>
    </xdr:pic>
    <xdr:clientData/>
  </xdr:twoCellAnchor>
  <xdr:twoCellAnchor editAs="absolute">
    <xdr:from>
      <xdr:col>6</xdr:col>
      <xdr:colOff>257175</xdr:colOff>
      <xdr:row>33</xdr:row>
      <xdr:rowOff>28575</xdr:rowOff>
    </xdr:from>
    <xdr:to>
      <xdr:col>9</xdr:col>
      <xdr:colOff>123825</xdr:colOff>
      <xdr:row>33</xdr:row>
      <xdr:rowOff>257175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5686425" y="6238875"/>
          <a:ext cx="191452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0</xdr:col>
      <xdr:colOff>257176</xdr:colOff>
      <xdr:row>2</xdr:row>
      <xdr:rowOff>142874</xdr:rowOff>
    </xdr:from>
    <xdr:to>
      <xdr:col>1</xdr:col>
      <xdr:colOff>742950</xdr:colOff>
      <xdr:row>8</xdr:row>
      <xdr:rowOff>152400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523874"/>
          <a:ext cx="1095374" cy="1047751"/>
        </a:xfrm>
        <a:prstGeom prst="rect">
          <a:avLst/>
        </a:prstGeom>
      </xdr:spPr>
    </xdr:pic>
    <xdr:clientData/>
  </xdr:twoCellAnchor>
  <xdr:twoCellAnchor editAs="absolute">
    <xdr:from>
      <xdr:col>3</xdr:col>
      <xdr:colOff>1085850</xdr:colOff>
      <xdr:row>4</xdr:row>
      <xdr:rowOff>0</xdr:rowOff>
    </xdr:from>
    <xdr:to>
      <xdr:col>9</xdr:col>
      <xdr:colOff>1576388</xdr:colOff>
      <xdr:row>6</xdr:row>
      <xdr:rowOff>171450</xdr:rowOff>
    </xdr:to>
    <xdr:grpSp>
      <xdr:nvGrpSpPr>
        <xdr:cNvPr id="17" name="MenuTop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876675" y="657225"/>
          <a:ext cx="5176838" cy="552450"/>
          <a:chOff x="2466975" y="657225"/>
          <a:chExt cx="5176838" cy="552450"/>
        </a:xfrm>
      </xdr:grpSpPr>
      <xdr:sp macro="" textlink="">
        <xdr:nvSpPr>
          <xdr:cNvPr id="7" name="btnHome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466975" y="657225"/>
            <a:ext cx="1752600" cy="552450"/>
          </a:xfrm>
          <a:prstGeom prst="parallelogram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HOME</a:t>
            </a:r>
          </a:p>
        </xdr:txBody>
      </xdr:sp>
      <xdr:sp macro="[0]!Ir_Menu_Vender" textlink="">
        <xdr:nvSpPr>
          <xdr:cNvPr id="8" name="btnVend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179094" y="657225"/>
            <a:ext cx="1752600" cy="552450"/>
          </a:xfrm>
          <a:prstGeom prst="parallelogram">
            <a:avLst/>
          </a:prstGeom>
          <a:solidFill>
            <a:srgbClr val="BFBF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 baseline="0"/>
              <a:t>VENDER</a:t>
            </a:r>
            <a:endParaRPr lang="en-US" sz="1400" b="1" i="1"/>
          </a:p>
        </xdr:txBody>
      </xdr:sp>
      <xdr:sp macro="[0]!Ir_Menu_PreçosEXIBIÇÃO" textlink="">
        <xdr:nvSpPr>
          <xdr:cNvPr id="9" name="btnPreços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5891213" y="657225"/>
            <a:ext cx="1752600" cy="552450"/>
          </a:xfrm>
          <a:prstGeom prst="parallelogram">
            <a:avLst/>
          </a:prstGeom>
          <a:solidFill>
            <a:srgbClr val="BFBF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PREÇOS</a:t>
            </a:r>
          </a:p>
        </xdr:txBody>
      </xdr:sp>
    </xdr:grpSp>
    <xdr:clientData/>
  </xdr:twoCellAnchor>
  <xdr:twoCellAnchor editAs="absolute">
    <xdr:from>
      <xdr:col>6</xdr:col>
      <xdr:colOff>523875</xdr:colOff>
      <xdr:row>0</xdr:row>
      <xdr:rowOff>28575</xdr:rowOff>
    </xdr:from>
    <xdr:to>
      <xdr:col>8</xdr:col>
      <xdr:colOff>209549</xdr:colOff>
      <xdr:row>2</xdr:row>
      <xdr:rowOff>9524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953125" y="28575"/>
          <a:ext cx="1123949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  <xdr:twoCellAnchor editAs="absolute">
    <xdr:from>
      <xdr:col>1</xdr:col>
      <xdr:colOff>1304925</xdr:colOff>
      <xdr:row>10</xdr:row>
      <xdr:rowOff>175368</xdr:rowOff>
    </xdr:from>
    <xdr:to>
      <xdr:col>8</xdr:col>
      <xdr:colOff>228600</xdr:colOff>
      <xdr:row>22</xdr:row>
      <xdr:rowOff>142875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914525" y="1975593"/>
          <a:ext cx="5181600" cy="23963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500" b="1" cap="none" spc="0">
              <a:ln w="57150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solidFill>
                <a:schemeClr val="accent6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ACARI</a:t>
          </a:r>
        </a:p>
        <a:p>
          <a:pPr algn="ctr"/>
          <a:r>
            <a:rPr lang="en-US" sz="1500" b="1" cap="none" spc="0">
              <a:ln w="635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75000"/>
                </a:schemeClr>
              </a:solidFill>
              <a:effectLst/>
            </a:rPr>
            <a:t>Associação de Catadores Autônomos de Reciclagem Itajubense</a:t>
          </a:r>
        </a:p>
      </xdr:txBody>
    </xdr:sp>
    <xdr:clientData/>
  </xdr:twoCellAnchor>
  <xdr:twoCellAnchor editAs="absolute">
    <xdr:from>
      <xdr:col>14</xdr:col>
      <xdr:colOff>522063</xdr:colOff>
      <xdr:row>0</xdr:row>
      <xdr:rowOff>85308</xdr:rowOff>
    </xdr:from>
    <xdr:to>
      <xdr:col>15</xdr:col>
      <xdr:colOff>320390</xdr:colOff>
      <xdr:row>2</xdr:row>
      <xdr:rowOff>104776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2190188" y="85308"/>
          <a:ext cx="407927" cy="400468"/>
          <a:chOff x="276225" y="2543175"/>
          <a:chExt cx="1276350" cy="1276350"/>
        </a:xfrm>
      </xdr:grpSpPr>
      <xdr:sp macro="[0]!lsShow" textlink="">
        <xdr:nvSpPr>
          <xdr:cNvPr id="23" name="Elips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lsShow">
        <xdr:nvPicPr>
          <xdr:cNvPr id="24" name="Imagem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 preferRelativeResize="0"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colorTemperature colorTemp="4700"/>
                    </a14:imgEffect>
                    <a14:imgEffect>
                      <a14:brightnessContrast bright="40000"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477145</xdr:colOff>
      <xdr:row>0</xdr:row>
      <xdr:rowOff>162253</xdr:rowOff>
    </xdr:from>
    <xdr:to>
      <xdr:col>15</xdr:col>
      <xdr:colOff>31294</xdr:colOff>
      <xdr:row>2</xdr:row>
      <xdr:rowOff>59128</xdr:rowOff>
    </xdr:to>
    <xdr:sp macro="[0]!lsShow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10926070" y="162253"/>
          <a:ext cx="1382949" cy="277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LOGIN / ENTRAR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2</xdr:row>
      <xdr:rowOff>142874</xdr:rowOff>
    </xdr:from>
    <xdr:to>
      <xdr:col>1</xdr:col>
      <xdr:colOff>742950</xdr:colOff>
      <xdr:row>9</xdr:row>
      <xdr:rowOff>38100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523874"/>
          <a:ext cx="1095374" cy="1047751"/>
        </a:xfrm>
        <a:prstGeom prst="rect">
          <a:avLst/>
        </a:prstGeom>
      </xdr:spPr>
    </xdr:pic>
    <xdr:clientData/>
  </xdr:twoCellAnchor>
  <xdr:twoCellAnchor editAs="absolute">
    <xdr:from>
      <xdr:col>3</xdr:col>
      <xdr:colOff>428625</xdr:colOff>
      <xdr:row>4</xdr:row>
      <xdr:rowOff>0</xdr:rowOff>
    </xdr:from>
    <xdr:to>
      <xdr:col>9</xdr:col>
      <xdr:colOff>230575</xdr:colOff>
      <xdr:row>6</xdr:row>
      <xdr:rowOff>171450</xdr:rowOff>
    </xdr:to>
    <xdr:grpSp>
      <xdr:nvGrpSpPr>
        <xdr:cNvPr id="29" name="MenuTopo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pSpPr/>
      </xdr:nvGrpSpPr>
      <xdr:grpSpPr>
        <a:xfrm>
          <a:off x="3800475" y="657225"/>
          <a:ext cx="5145475" cy="552450"/>
          <a:chOff x="2471208" y="656167"/>
          <a:chExt cx="5175414" cy="552450"/>
        </a:xfrm>
      </xdr:grpSpPr>
      <xdr:sp macro="[0]!DE_VENDER_PARA_MENU" textlink="">
        <xdr:nvSpPr>
          <xdr:cNvPr id="7" name="btnHome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2471208" y="656167"/>
            <a:ext cx="1752118" cy="552450"/>
          </a:xfrm>
          <a:prstGeom prst="parallelogram">
            <a:avLst/>
          </a:prstGeom>
          <a:solidFill>
            <a:srgbClr val="BFBF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HOME</a:t>
            </a:r>
          </a:p>
        </xdr:txBody>
      </xdr:sp>
      <xdr:sp macro="[0]!Ir_Menu_Vender" textlink="">
        <xdr:nvSpPr>
          <xdr:cNvPr id="8" name="btnVender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182856" y="656167"/>
            <a:ext cx="1752118" cy="552450"/>
          </a:xfrm>
          <a:prstGeom prst="parallelogram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 baseline="0"/>
              <a:t>VENDER</a:t>
            </a:r>
            <a:endParaRPr lang="en-US" sz="1400" b="1" i="1"/>
          </a:p>
        </xdr:txBody>
      </xdr:sp>
      <xdr:sp macro="[0]!DE_VENDER_PARA_PREÇOS" textlink="">
        <xdr:nvSpPr>
          <xdr:cNvPr id="9" name="btnPreços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5894504" y="656167"/>
            <a:ext cx="1752118" cy="552450"/>
          </a:xfrm>
          <a:prstGeom prst="parallelogram">
            <a:avLst/>
          </a:prstGeom>
          <a:solidFill>
            <a:srgbClr val="BFBF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PREÇOS</a:t>
            </a:r>
          </a:p>
        </xdr:txBody>
      </xdr:sp>
    </xdr:grpSp>
    <xdr:clientData/>
  </xdr:twoCellAnchor>
  <xdr:twoCellAnchor>
    <xdr:from>
      <xdr:col>6</xdr:col>
      <xdr:colOff>158883</xdr:colOff>
      <xdr:row>11</xdr:row>
      <xdr:rowOff>185955</xdr:rowOff>
    </xdr:from>
    <xdr:to>
      <xdr:col>9</xdr:col>
      <xdr:colOff>9525</xdr:colOff>
      <xdr:row>15</xdr:row>
      <xdr:rowOff>136711</xdr:rowOff>
    </xdr:to>
    <xdr:grpSp>
      <xdr:nvGrpSpPr>
        <xdr:cNvPr id="30" name="MenuExtrato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7207383" y="2424330"/>
          <a:ext cx="1517517" cy="712756"/>
          <a:chOff x="6631129" y="907287"/>
          <a:chExt cx="2345670" cy="715324"/>
        </a:xfrm>
      </xdr:grpSpPr>
      <xdr:sp macro="[0]!Adicionar_EXTRATO" textlink="">
        <xdr:nvSpPr>
          <xdr:cNvPr id="18" name="btnAdicionar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6670138" y="907287"/>
            <a:ext cx="2306661" cy="294714"/>
          </a:xfrm>
          <a:prstGeom prst="parallelogram">
            <a:avLst/>
          </a:prstGeom>
          <a:solidFill>
            <a:schemeClr val="accent4"/>
          </a:solidFill>
          <a:ln w="190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 baseline="0">
                <a:solidFill>
                  <a:sysClr val="windowText" lastClr="000000"/>
                </a:solidFill>
              </a:rPr>
              <a:t>ADICIONAR</a:t>
            </a:r>
            <a:endParaRPr lang="en-US" sz="1400" b="1" i="1">
              <a:solidFill>
                <a:sysClr val="windowText" lastClr="000000"/>
              </a:solidFill>
            </a:endParaRPr>
          </a:p>
        </xdr:txBody>
      </xdr:sp>
      <xdr:sp macro="[0]!IMPRIMIR" textlink="">
        <xdr:nvSpPr>
          <xdr:cNvPr id="26" name="btnImprimir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6631129" y="1327897"/>
            <a:ext cx="2306660" cy="294714"/>
          </a:xfrm>
          <a:prstGeom prst="parallelogram">
            <a:avLst/>
          </a:prstGeom>
          <a:solidFill>
            <a:schemeClr val="accent4"/>
          </a:solidFill>
          <a:ln w="190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>
                <a:solidFill>
                  <a:sysClr val="windowText" lastClr="000000"/>
                </a:solidFill>
              </a:rPr>
              <a:t>IMPRIMIR</a:t>
            </a:r>
          </a:p>
        </xdr:txBody>
      </xdr:sp>
    </xdr:grpSp>
    <xdr:clientData/>
  </xdr:twoCellAnchor>
  <xdr:twoCellAnchor editAs="absolute">
    <xdr:from>
      <xdr:col>5</xdr:col>
      <xdr:colOff>254378</xdr:colOff>
      <xdr:row>0</xdr:row>
      <xdr:rowOff>28575</xdr:rowOff>
    </xdr:from>
    <xdr:to>
      <xdr:col>6</xdr:col>
      <xdr:colOff>31380</xdr:colOff>
      <xdr:row>2</xdr:row>
      <xdr:rowOff>9524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5959853" y="28575"/>
          <a:ext cx="1120027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  <xdr:twoCellAnchor editAs="absolute">
    <xdr:from>
      <xdr:col>14</xdr:col>
      <xdr:colOff>288981</xdr:colOff>
      <xdr:row>0</xdr:row>
      <xdr:rowOff>85308</xdr:rowOff>
    </xdr:from>
    <xdr:to>
      <xdr:col>14</xdr:col>
      <xdr:colOff>696907</xdr:colOff>
      <xdr:row>2</xdr:row>
      <xdr:rowOff>104776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12176181" y="85308"/>
          <a:ext cx="407926" cy="400468"/>
          <a:chOff x="276225" y="2543175"/>
          <a:chExt cx="1276350" cy="1276350"/>
        </a:xfrm>
      </xdr:grpSpPr>
      <xdr:sp macro="[0]!lsShow" textlink="">
        <xdr:nvSpPr>
          <xdr:cNvPr id="15" name="Elipse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lsShow"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 preferRelativeResize="0"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colorTemperature colorTemp="4700"/>
                    </a14:imgEffect>
                    <a14:imgEffect>
                      <a14:brightnessContrast bright="40000"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1749012</xdr:colOff>
      <xdr:row>0</xdr:row>
      <xdr:rowOff>162253</xdr:rowOff>
    </xdr:from>
    <xdr:to>
      <xdr:col>14</xdr:col>
      <xdr:colOff>407811</xdr:colOff>
      <xdr:row>2</xdr:row>
      <xdr:rowOff>59128</xdr:rowOff>
    </xdr:to>
    <xdr:sp macro="[0]!lsShow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0926070" y="162253"/>
          <a:ext cx="1382949" cy="277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LOGIN / ENTRAR</a:t>
          </a:r>
        </a:p>
      </xdr:txBody>
    </xdr:sp>
    <xdr:clientData/>
  </xdr:twoCellAnchor>
  <xdr:twoCellAnchor editAs="absolute">
    <xdr:from>
      <xdr:col>5</xdr:col>
      <xdr:colOff>75519</xdr:colOff>
      <xdr:row>24</xdr:row>
      <xdr:rowOff>319769</xdr:rowOff>
    </xdr:from>
    <xdr:to>
      <xdr:col>6</xdr:col>
      <xdr:colOff>309561</xdr:colOff>
      <xdr:row>34</xdr:row>
      <xdr:rowOff>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0994" y="5044169"/>
          <a:ext cx="1577067" cy="1575706"/>
        </a:xfrm>
        <a:prstGeom prst="rect">
          <a:avLst/>
        </a:prstGeom>
      </xdr:spPr>
    </xdr:pic>
    <xdr:clientData/>
  </xdr:twoCellAnchor>
  <xdr:twoCellAnchor editAs="absolute">
    <xdr:from>
      <xdr:col>4</xdr:col>
      <xdr:colOff>99331</xdr:colOff>
      <xdr:row>32</xdr:row>
      <xdr:rowOff>152400</xdr:rowOff>
    </xdr:from>
    <xdr:to>
      <xdr:col>7</xdr:col>
      <xdr:colOff>95249</xdr:colOff>
      <xdr:row>34</xdr:row>
      <xdr:rowOff>0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5614306" y="6391275"/>
          <a:ext cx="1910443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9525</xdr:colOff>
      <xdr:row>9</xdr:row>
      <xdr:rowOff>9525</xdr:rowOff>
    </xdr:from>
    <xdr:to>
      <xdr:col>3</xdr:col>
      <xdr:colOff>2133525</xdr:colOff>
      <xdr:row>9</xdr:row>
      <xdr:rowOff>219075</xdr:rowOff>
    </xdr:to>
    <xdr:sp macro="[0]!Chamar_lista_materiais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381375" y="1600200"/>
          <a:ext cx="2124000" cy="209550"/>
        </a:xfrm>
        <a:prstGeom prst="rect">
          <a:avLst/>
        </a:prstGeom>
        <a:solidFill>
          <a:schemeClr val="accent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Materiais</a:t>
          </a:r>
        </a:p>
      </xdr:txBody>
    </xdr:sp>
    <xdr:clientData/>
  </xdr:twoCellAnchor>
  <xdr:twoCellAnchor>
    <xdr:from>
      <xdr:col>1</xdr:col>
      <xdr:colOff>9525</xdr:colOff>
      <xdr:row>9</xdr:row>
      <xdr:rowOff>9525</xdr:rowOff>
    </xdr:from>
    <xdr:to>
      <xdr:col>1</xdr:col>
      <xdr:colOff>2562225</xdr:colOff>
      <xdr:row>9</xdr:row>
      <xdr:rowOff>219075</xdr:rowOff>
    </xdr:to>
    <xdr:sp macro="[0]!Chamar_lista_associados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19125" y="1600200"/>
          <a:ext cx="2552700" cy="209550"/>
        </a:xfrm>
        <a:prstGeom prst="rect">
          <a:avLst/>
        </a:prstGeom>
        <a:solidFill>
          <a:schemeClr val="accent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Associados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42863</xdr:colOff>
      <xdr:row>45</xdr:row>
      <xdr:rowOff>76201</xdr:rowOff>
    </xdr:from>
    <xdr:to>
      <xdr:col>9</xdr:col>
      <xdr:colOff>1014412</xdr:colOff>
      <xdr:row>54</xdr:row>
      <xdr:rowOff>57150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0763" y="8543926"/>
          <a:ext cx="1581149" cy="1581149"/>
        </a:xfrm>
        <a:prstGeom prst="rect">
          <a:avLst/>
        </a:prstGeom>
      </xdr:spPr>
    </xdr:pic>
    <xdr:clientData/>
  </xdr:twoCellAnchor>
  <xdr:twoCellAnchor editAs="absolute">
    <xdr:from>
      <xdr:col>7</xdr:col>
      <xdr:colOff>704850</xdr:colOff>
      <xdr:row>53</xdr:row>
      <xdr:rowOff>19050</xdr:rowOff>
    </xdr:from>
    <xdr:to>
      <xdr:col>9</xdr:col>
      <xdr:colOff>1181100</xdr:colOff>
      <xdr:row>54</xdr:row>
      <xdr:rowOff>57150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934075" y="9896475"/>
          <a:ext cx="191452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0</xdr:col>
      <xdr:colOff>257176</xdr:colOff>
      <xdr:row>2</xdr:row>
      <xdr:rowOff>142874</xdr:rowOff>
    </xdr:from>
    <xdr:to>
      <xdr:col>2</xdr:col>
      <xdr:colOff>171450</xdr:colOff>
      <xdr:row>8</xdr:row>
      <xdr:rowOff>152400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523874"/>
          <a:ext cx="1095374" cy="1047751"/>
        </a:xfrm>
        <a:prstGeom prst="rect">
          <a:avLst/>
        </a:prstGeom>
      </xdr:spPr>
    </xdr:pic>
    <xdr:clientData/>
  </xdr:twoCellAnchor>
  <xdr:twoCellAnchor editAs="absolute">
    <xdr:from>
      <xdr:col>4</xdr:col>
      <xdr:colOff>38100</xdr:colOff>
      <xdr:row>4</xdr:row>
      <xdr:rowOff>0</xdr:rowOff>
    </xdr:from>
    <xdr:to>
      <xdr:col>10</xdr:col>
      <xdr:colOff>585788</xdr:colOff>
      <xdr:row>6</xdr:row>
      <xdr:rowOff>171450</xdr:rowOff>
    </xdr:to>
    <xdr:grpSp>
      <xdr:nvGrpSpPr>
        <xdr:cNvPr id="6" name="MenuTop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829050" y="657225"/>
          <a:ext cx="5176838" cy="552450"/>
          <a:chOff x="2466975" y="657225"/>
          <a:chExt cx="5176838" cy="552450"/>
        </a:xfrm>
      </xdr:grpSpPr>
      <xdr:sp macro="[0]!Ir_Menu_GERAL" textlink="">
        <xdr:nvSpPr>
          <xdr:cNvPr id="7" name="btnHome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2466975" y="657225"/>
            <a:ext cx="1752600" cy="552450"/>
          </a:xfrm>
          <a:prstGeom prst="parallelogram">
            <a:avLst/>
          </a:prstGeom>
          <a:solidFill>
            <a:srgbClr val="BFBF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HOME</a:t>
            </a:r>
          </a:p>
        </xdr:txBody>
      </xdr:sp>
      <xdr:sp macro="[0]!Ir_Menu_Vender" textlink="">
        <xdr:nvSpPr>
          <xdr:cNvPr id="8" name="btnVender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179094" y="657225"/>
            <a:ext cx="1752600" cy="552450"/>
          </a:xfrm>
          <a:prstGeom prst="parallelogram">
            <a:avLst/>
          </a:prstGeom>
          <a:solidFill>
            <a:srgbClr val="BFBF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 baseline="0"/>
              <a:t>VENDER</a:t>
            </a:r>
            <a:endParaRPr lang="en-US" sz="1400" b="1" i="1"/>
          </a:p>
        </xdr:txBody>
      </xdr:sp>
      <xdr:sp macro="[0]!Ir_Menu_PreçosEXIBIÇÃO" textlink="">
        <xdr:nvSpPr>
          <xdr:cNvPr id="9" name="btnPreços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5891213" y="657225"/>
            <a:ext cx="1752600" cy="552450"/>
          </a:xfrm>
          <a:prstGeom prst="parallelogram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PREÇOS</a:t>
            </a:r>
          </a:p>
        </xdr:txBody>
      </xdr:sp>
    </xdr:grpSp>
    <xdr:clientData/>
  </xdr:twoCellAnchor>
  <xdr:twoCellAnchor editAs="absolute">
    <xdr:from>
      <xdr:col>7</xdr:col>
      <xdr:colOff>723900</xdr:colOff>
      <xdr:row>0</xdr:row>
      <xdr:rowOff>28575</xdr:rowOff>
    </xdr:from>
    <xdr:to>
      <xdr:col>9</xdr:col>
      <xdr:colOff>409574</xdr:colOff>
      <xdr:row>2</xdr:row>
      <xdr:rowOff>9524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5953125" y="28575"/>
          <a:ext cx="1123949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  <xdr:twoCellAnchor editAs="absolute">
    <xdr:from>
      <xdr:col>16</xdr:col>
      <xdr:colOff>112488</xdr:colOff>
      <xdr:row>0</xdr:row>
      <xdr:rowOff>85308</xdr:rowOff>
    </xdr:from>
    <xdr:to>
      <xdr:col>16</xdr:col>
      <xdr:colOff>520415</xdr:colOff>
      <xdr:row>2</xdr:row>
      <xdr:rowOff>104776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2190188" y="85308"/>
          <a:ext cx="407927" cy="400468"/>
          <a:chOff x="276225" y="2543175"/>
          <a:chExt cx="1276350" cy="1276350"/>
        </a:xfrm>
      </xdr:grpSpPr>
      <xdr:sp macro="[0]!lsShow" textlink="">
        <xdr:nvSpPr>
          <xdr:cNvPr id="15" name="Elips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lsShow"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 preferRelativeResize="0"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colorTemperature colorTemp="4700"/>
                    </a14:imgEffect>
                    <a14:imgEffect>
                      <a14:brightnessContrast bright="40000"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67570</xdr:colOff>
      <xdr:row>0</xdr:row>
      <xdr:rowOff>162253</xdr:rowOff>
    </xdr:from>
    <xdr:to>
      <xdr:col>16</xdr:col>
      <xdr:colOff>231319</xdr:colOff>
      <xdr:row>2</xdr:row>
      <xdr:rowOff>59128</xdr:rowOff>
    </xdr:to>
    <xdr:sp macro="[0]!lsShow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0926070" y="162253"/>
          <a:ext cx="1382949" cy="277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LOGIN / ENTRAR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523875</xdr:colOff>
      <xdr:row>0</xdr:row>
      <xdr:rowOff>76200</xdr:rowOff>
    </xdr:from>
    <xdr:to>
      <xdr:col>15</xdr:col>
      <xdr:colOff>400050</xdr:colOff>
      <xdr:row>2</xdr:row>
      <xdr:rowOff>142875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pSpPr/>
      </xdr:nvGrpSpPr>
      <xdr:grpSpPr>
        <a:xfrm>
          <a:off x="10972800" y="76200"/>
          <a:ext cx="1704975" cy="447675"/>
          <a:chOff x="10982325" y="76200"/>
          <a:chExt cx="1704975" cy="447675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GrpSpPr/>
        </xdr:nvGrpSpPr>
        <xdr:grpSpPr>
          <a:xfrm>
            <a:off x="12239625" y="76200"/>
            <a:ext cx="447675" cy="447675"/>
            <a:chOff x="276225" y="2543175"/>
            <a:chExt cx="1276350" cy="1276350"/>
          </a:xfrm>
        </xdr:grpSpPr>
        <xdr:sp macro="[0]!Ir_Menu_GERAL_LOGOUT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/>
          </xdr:nvSpPr>
          <xdr:spPr>
            <a:xfrm>
              <a:off x="276225" y="2543175"/>
              <a:ext cx="1276350" cy="1276350"/>
            </a:xfrm>
            <a:prstGeom prst="ellipse">
              <a:avLst/>
            </a:prstGeom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 macro="[0]!Ir_Menu_GERAL_LOGOUT">
          <xdr:nvPicPr>
            <xdr:cNvPr id="26" name="Imagem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71500" y="2838450"/>
              <a:ext cx="685800" cy="685800"/>
            </a:xfrm>
            <a:prstGeom prst="rect">
              <a:avLst/>
            </a:prstGeom>
          </xdr:spPr>
        </xdr:pic>
      </xdr:grpSp>
      <xdr:sp macro="[0]!Ir_Menu_GERAL_LOGOUT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0982325" y="171450"/>
            <a:ext cx="1323975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>
                <a:solidFill>
                  <a:schemeClr val="bg1"/>
                </a:solidFill>
              </a:rPr>
              <a:t>LOGOUT / SAIR</a:t>
            </a:r>
          </a:p>
        </xdr:txBody>
      </xdr:sp>
    </xdr:grpSp>
    <xdr:clientData/>
  </xdr:twoCellAnchor>
  <xdr:twoCellAnchor editAs="oneCell">
    <xdr:from>
      <xdr:col>6</xdr:col>
      <xdr:colOff>423863</xdr:colOff>
      <xdr:row>25</xdr:row>
      <xdr:rowOff>9525</xdr:rowOff>
    </xdr:from>
    <xdr:to>
      <xdr:col>8</xdr:col>
      <xdr:colOff>566737</xdr:colOff>
      <xdr:row>33</xdr:row>
      <xdr:rowOff>180974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3113" y="4810125"/>
          <a:ext cx="1581149" cy="1581149"/>
        </a:xfrm>
        <a:prstGeom prst="rect">
          <a:avLst/>
        </a:prstGeom>
      </xdr:spPr>
    </xdr:pic>
    <xdr:clientData/>
  </xdr:twoCellAnchor>
  <xdr:twoCellAnchor>
    <xdr:from>
      <xdr:col>6</xdr:col>
      <xdr:colOff>257175</xdr:colOff>
      <xdr:row>33</xdr:row>
      <xdr:rowOff>9525</xdr:rowOff>
    </xdr:from>
    <xdr:to>
      <xdr:col>9</xdr:col>
      <xdr:colOff>123825</xdr:colOff>
      <xdr:row>34</xdr:row>
      <xdr:rowOff>47625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686425" y="6219825"/>
          <a:ext cx="191452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7</xdr:col>
      <xdr:colOff>419100</xdr:colOff>
      <xdr:row>8</xdr:row>
      <xdr:rowOff>78252</xdr:rowOff>
    </xdr:from>
    <xdr:to>
      <xdr:col>14</xdr:col>
      <xdr:colOff>152400</xdr:colOff>
      <xdr:row>25</xdr:row>
      <xdr:rowOff>161925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1497477"/>
          <a:ext cx="5362575" cy="3465048"/>
        </a:xfrm>
        <a:prstGeom prst="rect">
          <a:avLst/>
        </a:prstGeom>
      </xdr:spPr>
    </xdr:pic>
    <xdr:clientData/>
  </xdr:twoCellAnchor>
  <xdr:twoCellAnchor>
    <xdr:from>
      <xdr:col>0</xdr:col>
      <xdr:colOff>257175</xdr:colOff>
      <xdr:row>0</xdr:row>
      <xdr:rowOff>28575</xdr:rowOff>
    </xdr:from>
    <xdr:to>
      <xdr:col>15</xdr:col>
      <xdr:colOff>11203</xdr:colOff>
      <xdr:row>8</xdr:row>
      <xdr:rowOff>152400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257175" y="28575"/>
          <a:ext cx="12031753" cy="1543050"/>
          <a:chOff x="257175" y="28575"/>
          <a:chExt cx="12026465" cy="1543050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GrpSpPr/>
        </xdr:nvGrpSpPr>
        <xdr:grpSpPr>
          <a:xfrm>
            <a:off x="1895725" y="28575"/>
            <a:ext cx="10387915" cy="1181100"/>
            <a:chOff x="1895725" y="28575"/>
            <a:chExt cx="10387915" cy="1181100"/>
          </a:xfrm>
        </xdr:grpSpPr>
        <xdr:grpSp>
          <xdr:nvGrpSpPr>
            <xdr:cNvPr id="8" name="Agrupar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pSpPr/>
          </xdr:nvGrpSpPr>
          <xdr:grpSpPr>
            <a:xfrm>
              <a:off x="1895725" y="657225"/>
              <a:ext cx="10387915" cy="552450"/>
              <a:chOff x="1895725" y="657225"/>
              <a:chExt cx="10387915" cy="552450"/>
            </a:xfrm>
          </xdr:grpSpPr>
          <xdr:sp macro="[0]!Ir_Menu_ADM" textlink="">
            <xdr:nvSpPr>
              <xdr:cNvPr id="10" name="Paralelogramo 9">
                <a:extLst>
                  <a:ext uri="{FF2B5EF4-FFF2-40B4-BE49-F238E27FC236}">
                    <a16:creationId xmlns:a16="http://schemas.microsoft.com/office/drawing/2014/main" id="{00000000-0008-0000-0300-00000A000000}"/>
                  </a:ext>
                </a:extLst>
              </xdr:cNvPr>
              <xdr:cNvSpPr/>
            </xdr:nvSpPr>
            <xdr:spPr>
              <a:xfrm>
                <a:off x="1895725" y="657225"/>
                <a:ext cx="1752600" cy="552450"/>
              </a:xfrm>
              <a:prstGeom prst="parallelogram">
                <a:avLst/>
              </a:prstGeom>
              <a:solidFill>
                <a:srgbClr val="00206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HOME - ADM</a:t>
                </a:r>
              </a:p>
            </xdr:txBody>
          </xdr:sp>
          <xdr:sp macro="[0]!Ir_Menu_Relatórios" textlink="">
            <xdr:nvSpPr>
              <xdr:cNvPr id="11" name="Paralelogramo 10">
                <a:extLst>
                  <a:ext uri="{FF2B5EF4-FFF2-40B4-BE49-F238E27FC236}">
                    <a16:creationId xmlns:a16="http://schemas.microsoft.com/office/drawing/2014/main" id="{00000000-0008-0000-0300-00000B000000}"/>
                  </a:ext>
                </a:extLst>
              </xdr:cNvPr>
              <xdr:cNvSpPr/>
            </xdr:nvSpPr>
            <xdr:spPr>
              <a:xfrm>
                <a:off x="3590752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 baseline="0"/>
                  <a:t>RELATÓRIOS</a:t>
                </a:r>
                <a:endParaRPr lang="en-US" sz="1400" b="1"/>
              </a:p>
            </xdr:txBody>
          </xdr:sp>
          <xdr:sp macro="[0]!IR_Vender_para_Industria" textlink="">
            <xdr:nvSpPr>
              <xdr:cNvPr id="12" name="Paralelogramo 11">
                <a:extLst>
                  <a:ext uri="{FF2B5EF4-FFF2-40B4-BE49-F238E27FC236}">
                    <a16:creationId xmlns:a16="http://schemas.microsoft.com/office/drawing/2014/main" id="{00000000-0008-0000-0300-00000C000000}"/>
                  </a:ext>
                </a:extLst>
              </xdr:cNvPr>
              <xdr:cNvSpPr/>
            </xdr:nvSpPr>
            <xdr:spPr>
              <a:xfrm>
                <a:off x="5285779" y="657225"/>
                <a:ext cx="1832503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VENDER</a:t>
                </a:r>
              </a:p>
            </xdr:txBody>
          </xdr:sp>
          <xdr:sp macro="[0]!Ir_Menu_Associados" textlink="">
            <xdr:nvSpPr>
              <xdr:cNvPr id="13" name="Paralelogramo 12">
                <a:extLst>
                  <a:ext uri="{FF2B5EF4-FFF2-40B4-BE49-F238E27FC236}">
                    <a16:creationId xmlns:a16="http://schemas.microsoft.com/office/drawing/2014/main" id="{00000000-0008-0000-0300-00000D000000}"/>
                  </a:ext>
                </a:extLst>
              </xdr:cNvPr>
              <xdr:cNvSpPr/>
            </xdr:nvSpPr>
            <xdr:spPr>
              <a:xfrm>
                <a:off x="7060709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ASSOCIADOS</a:t>
                </a:r>
              </a:p>
            </xdr:txBody>
          </xdr:sp>
          <xdr:sp macro="[0]!Ir_Menu_PreçosEDITÁVEL" textlink="">
            <xdr:nvSpPr>
              <xdr:cNvPr id="14" name="Paralelogramo 13">
                <a:extLst>
                  <a:ext uri="{FF2B5EF4-FFF2-40B4-BE49-F238E27FC236}">
                    <a16:creationId xmlns:a16="http://schemas.microsoft.com/office/drawing/2014/main" id="{00000000-0008-0000-0300-00000E000000}"/>
                  </a:ext>
                </a:extLst>
              </xdr:cNvPr>
              <xdr:cNvSpPr/>
            </xdr:nvSpPr>
            <xdr:spPr>
              <a:xfrm>
                <a:off x="8755736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PREÇOS</a:t>
                </a:r>
              </a:p>
            </xdr:txBody>
          </xdr:sp>
          <xdr:sp macro="[0]!Ir_Menu_ADMINISTRADORES" textlink="">
            <xdr:nvSpPr>
              <xdr:cNvPr id="16" name="Paralelogramo 15">
                <a:extLst>
                  <a:ext uri="{FF2B5EF4-FFF2-40B4-BE49-F238E27FC236}">
                    <a16:creationId xmlns:a16="http://schemas.microsoft.com/office/drawing/2014/main" id="{00000000-0008-0000-0300-000010000000}"/>
                  </a:ext>
                </a:extLst>
              </xdr:cNvPr>
              <xdr:cNvSpPr/>
            </xdr:nvSpPr>
            <xdr:spPr>
              <a:xfrm>
                <a:off x="10450764" y="657225"/>
                <a:ext cx="1832876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EDITAR SENHAS</a:t>
                </a:r>
              </a:p>
            </xdr:txBody>
          </xdr:sp>
        </xdr:grpSp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5829300" y="28575"/>
              <a:ext cx="978195" cy="361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2400" b="1" cap="none" spc="0">
                  <a:ln w="22225">
                    <a:solidFill>
                      <a:schemeClr val="bg1"/>
                    </a:solidFill>
                    <a:prstDash val="solid"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ACARI</a:t>
              </a:r>
            </a:p>
          </xdr:txBody>
        </xdr:sp>
      </xdr:grpSp>
    </xdr:grpSp>
    <xdr:clientData/>
  </xdr:twoCellAnchor>
  <xdr:twoCellAnchor>
    <xdr:from>
      <xdr:col>1</xdr:col>
      <xdr:colOff>1276350</xdr:colOff>
      <xdr:row>10</xdr:row>
      <xdr:rowOff>175368</xdr:rowOff>
    </xdr:from>
    <xdr:to>
      <xdr:col>8</xdr:col>
      <xdr:colOff>200025</xdr:colOff>
      <xdr:row>22</xdr:row>
      <xdr:rowOff>142875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885950" y="1975593"/>
          <a:ext cx="5181600" cy="239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500" b="1" cap="none" spc="0">
              <a:ln w="57150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solidFill>
                <a:schemeClr val="accent6">
                  <a:lumMod val="7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rPr>
            <a:t>ACARI</a:t>
          </a:r>
        </a:p>
        <a:p>
          <a:pPr algn="ctr"/>
          <a:r>
            <a:rPr lang="en-US" sz="1500" b="1" cap="none" spc="0">
              <a:ln w="6350">
                <a:solidFill>
                  <a:schemeClr val="accent6">
                    <a:lumMod val="40000"/>
                    <a:lumOff val="60000"/>
                  </a:schemeClr>
                </a:solidFill>
                <a:prstDash val="solid"/>
              </a:ln>
              <a:solidFill>
                <a:schemeClr val="accent6">
                  <a:lumMod val="75000"/>
                </a:schemeClr>
              </a:solidFill>
              <a:effectLst/>
            </a:rPr>
            <a:t>Associação de Catadores Autônomos de Reciclagem Itajubense</a:t>
          </a:r>
        </a:p>
      </xdr:txBody>
    </xdr:sp>
    <xdr:clientData/>
  </xdr:twoCellAnchor>
  <xdr:twoCellAnchor>
    <xdr:from>
      <xdr:col>3</xdr:col>
      <xdr:colOff>33338</xdr:colOff>
      <xdr:row>22</xdr:row>
      <xdr:rowOff>57150</xdr:rowOff>
    </xdr:from>
    <xdr:to>
      <xdr:col>7</xdr:col>
      <xdr:colOff>90488</xdr:colOff>
      <xdr:row>25</xdr:row>
      <xdr:rowOff>85725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2824163" y="4286250"/>
          <a:ext cx="3305175" cy="600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 cap="none" spc="0">
              <a:ln w="19050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</a:rPr>
            <a:t>- ADMINISTRATIVO 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645558</xdr:colOff>
      <xdr:row>7</xdr:row>
      <xdr:rowOff>100230</xdr:rowOff>
    </xdr:from>
    <xdr:to>
      <xdr:col>7</xdr:col>
      <xdr:colOff>426673</xdr:colOff>
      <xdr:row>8</xdr:row>
      <xdr:rowOff>0</xdr:rowOff>
    </xdr:to>
    <xdr:grpSp>
      <xdr:nvGrpSpPr>
        <xdr:cNvPr id="2" name="MenuExtrat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3426858" y="1328955"/>
          <a:ext cx="7048690" cy="290295"/>
          <a:chOff x="4250241" y="1327897"/>
          <a:chExt cx="7064641" cy="294714"/>
        </a:xfrm>
      </xdr:grpSpPr>
      <xdr:sp macro="" textlink="">
        <xdr:nvSpPr>
          <xdr:cNvPr id="3" name="btnAdicionar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4250241" y="1327897"/>
            <a:ext cx="2306661" cy="294714"/>
          </a:xfrm>
          <a:prstGeom prst="parallelogram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 baseline="0"/>
              <a:t>ESTOQUE</a:t>
            </a:r>
            <a:endParaRPr lang="en-US" sz="1400" b="1" i="1"/>
          </a:p>
        </xdr:txBody>
      </xdr:sp>
      <xdr:sp macro="[0]!Ir_Menu_FluxoDeCaixa" textlink="">
        <xdr:nvSpPr>
          <xdr:cNvPr id="4" name="btnImprimir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6631129" y="1327897"/>
            <a:ext cx="2306661" cy="294714"/>
          </a:xfrm>
          <a:prstGeom prst="parallelogram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FLUXO</a:t>
            </a:r>
            <a:r>
              <a:rPr lang="en-US" sz="1400" b="1" i="1" baseline="0"/>
              <a:t> DE CAIXA</a:t>
            </a:r>
            <a:endParaRPr lang="en-US" sz="1400" b="1" i="1"/>
          </a:p>
        </xdr:txBody>
      </xdr:sp>
      <xdr:sp macro="[0]!Ir_Menu_Despesas" textlink="">
        <xdr:nvSpPr>
          <xdr:cNvPr id="5" name="btnImprimir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>
          <a:xfrm>
            <a:off x="9008221" y="1327897"/>
            <a:ext cx="2306661" cy="294714"/>
          </a:xfrm>
          <a:prstGeom prst="parallelogram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REGISTRAR</a:t>
            </a:r>
            <a:r>
              <a:rPr lang="en-US" sz="1400" b="1" i="1" baseline="0"/>
              <a:t> DESPESAS</a:t>
            </a:r>
          </a:p>
        </xdr:txBody>
      </xdr:sp>
    </xdr:grpSp>
    <xdr:clientData/>
  </xdr:twoCellAnchor>
  <xdr:twoCellAnchor editAs="absolute">
    <xdr:from>
      <xdr:col>3</xdr:col>
      <xdr:colOff>1797428</xdr:colOff>
      <xdr:row>0</xdr:row>
      <xdr:rowOff>28575</xdr:rowOff>
    </xdr:from>
    <xdr:to>
      <xdr:col>4</xdr:col>
      <xdr:colOff>50430</xdr:colOff>
      <xdr:row>2</xdr:row>
      <xdr:rowOff>9524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836028" y="28575"/>
          <a:ext cx="1120027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  <xdr:twoCellAnchor editAs="absolute">
    <xdr:from>
      <xdr:col>3</xdr:col>
      <xdr:colOff>1799544</xdr:colOff>
      <xdr:row>21</xdr:row>
      <xdr:rowOff>47626</xdr:rowOff>
    </xdr:from>
    <xdr:to>
      <xdr:col>4</xdr:col>
      <xdr:colOff>509586</xdr:colOff>
      <xdr:row>31</xdr:row>
      <xdr:rowOff>47625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144" y="5638801"/>
          <a:ext cx="1577067" cy="1600199"/>
        </a:xfrm>
        <a:prstGeom prst="rect">
          <a:avLst/>
        </a:prstGeom>
      </xdr:spPr>
    </xdr:pic>
    <xdr:clientData/>
  </xdr:twoCellAnchor>
  <xdr:twoCellAnchor editAs="absolute">
    <xdr:from>
      <xdr:col>3</xdr:col>
      <xdr:colOff>1880506</xdr:colOff>
      <xdr:row>1048576</xdr:row>
      <xdr:rowOff>152400</xdr:rowOff>
    </xdr:from>
    <xdr:to>
      <xdr:col>4</xdr:col>
      <xdr:colOff>923924</xdr:colOff>
      <xdr:row>1048576</xdr:row>
      <xdr:rowOff>152401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919106" y="7858623"/>
          <a:ext cx="1910443" cy="2090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11</xdr:col>
      <xdr:colOff>47625</xdr:colOff>
      <xdr:row>0</xdr:row>
      <xdr:rowOff>76200</xdr:rowOff>
    </xdr:from>
    <xdr:to>
      <xdr:col>12</xdr:col>
      <xdr:colOff>304800</xdr:colOff>
      <xdr:row>2</xdr:row>
      <xdr:rowOff>142875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11915775" y="76200"/>
          <a:ext cx="447675" cy="447675"/>
          <a:chOff x="276225" y="2543175"/>
          <a:chExt cx="1276350" cy="1276350"/>
        </a:xfrm>
      </xdr:grpSpPr>
      <xdr:sp macro="[0]!Ir_Menu_GERAL_LOGOUT" textlink="">
        <xdr:nvSpPr>
          <xdr:cNvPr id="10" name="Elips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Ir_Menu_GERAL_LOGOUT"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647700</xdr:colOff>
      <xdr:row>0</xdr:row>
      <xdr:rowOff>171450</xdr:rowOff>
    </xdr:from>
    <xdr:to>
      <xdr:col>12</xdr:col>
      <xdr:colOff>76200</xdr:colOff>
      <xdr:row>2</xdr:row>
      <xdr:rowOff>28575</xdr:rowOff>
    </xdr:to>
    <xdr:sp macro="[0]!Ir_Menu_GERAL_LOGOUT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0696575" y="171450"/>
          <a:ext cx="14382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LOGOUT / SAIR</a:t>
          </a:r>
        </a:p>
      </xdr:txBody>
    </xdr:sp>
    <xdr:clientData/>
  </xdr:twoCellAnchor>
  <xdr:twoCellAnchor editAs="absolute">
    <xdr:from>
      <xdr:col>0</xdr:col>
      <xdr:colOff>266700</xdr:colOff>
      <xdr:row>2</xdr:row>
      <xdr:rowOff>142874</xdr:rowOff>
    </xdr:from>
    <xdr:to>
      <xdr:col>12</xdr:col>
      <xdr:colOff>239803</xdr:colOff>
      <xdr:row>7</xdr:row>
      <xdr:rowOff>342900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266700" y="523874"/>
          <a:ext cx="12031753" cy="1047751"/>
          <a:chOff x="257175" y="523874"/>
          <a:chExt cx="12026465" cy="1047751"/>
        </a:xfrm>
      </xdr:grpSpPr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GrpSpPr/>
        </xdr:nvGrpSpPr>
        <xdr:grpSpPr>
          <a:xfrm>
            <a:off x="1895725" y="657225"/>
            <a:ext cx="10387915" cy="552450"/>
            <a:chOff x="1895725" y="657225"/>
            <a:chExt cx="10387915" cy="552450"/>
          </a:xfrm>
        </xdr:grpSpPr>
        <xdr:sp macro="[0]!Ir_Menu_ADM" textlink="">
          <xdr:nvSpPr>
            <xdr:cNvPr id="16" name="Paralelogram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/>
          </xdr:nvSpPr>
          <xdr:spPr>
            <a:xfrm>
              <a:off x="1895725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HOME - ADM</a:t>
              </a:r>
            </a:p>
          </xdr:txBody>
        </xdr:sp>
        <xdr:sp macro="[0]!Ir_Menu_Relatórios" textlink="">
          <xdr:nvSpPr>
            <xdr:cNvPr id="17" name="Paralelogramo 16"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SpPr/>
          </xdr:nvSpPr>
          <xdr:spPr>
            <a:xfrm>
              <a:off x="3590752" y="657225"/>
              <a:ext cx="1752600" cy="552450"/>
            </a:xfrm>
            <a:prstGeom prst="parallelogram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 baseline="0"/>
                <a:t>RELATÓRIOS</a:t>
              </a:r>
              <a:endParaRPr lang="en-US" sz="1400" b="1"/>
            </a:p>
          </xdr:txBody>
        </xdr:sp>
        <xdr:sp macro="[0]!IR_Vender_para_Industria" textlink="">
          <xdr:nvSpPr>
            <xdr:cNvPr id="18" name="Paralelogram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/>
          </xdr:nvSpPr>
          <xdr:spPr>
            <a:xfrm>
              <a:off x="5285779" y="657225"/>
              <a:ext cx="1832503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VENDER</a:t>
              </a:r>
            </a:p>
          </xdr:txBody>
        </xdr:sp>
        <xdr:sp macro="[0]!Ir_Menu_Associados" textlink="">
          <xdr:nvSpPr>
            <xdr:cNvPr id="19" name="Paralelogramo 18"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SpPr/>
          </xdr:nvSpPr>
          <xdr:spPr>
            <a:xfrm>
              <a:off x="7060709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ASSOCIADOS</a:t>
              </a:r>
            </a:p>
          </xdr:txBody>
        </xdr:sp>
        <xdr:sp macro="[0]!Ir_Menu_PreçosEDITÁVEL" textlink="">
          <xdr:nvSpPr>
            <xdr:cNvPr id="20" name="Paralelogramo 19"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SpPr/>
          </xdr:nvSpPr>
          <xdr:spPr>
            <a:xfrm>
              <a:off x="8755736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PREÇOS</a:t>
              </a:r>
            </a:p>
          </xdr:txBody>
        </xdr:sp>
        <xdr:sp macro="[0]!Ir_Menu_ADMINISTRADORES" textlink="">
          <xdr:nvSpPr>
            <xdr:cNvPr id="21" name="Paralelogramo 20"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:cNvPr>
            <xdr:cNvSpPr/>
          </xdr:nvSpPr>
          <xdr:spPr>
            <a:xfrm>
              <a:off x="10450764" y="657225"/>
              <a:ext cx="1832876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EDITAR SENHAS</a:t>
              </a:r>
            </a:p>
          </xdr:txBody>
        </xdr:sp>
      </xdr:grpSp>
    </xdr:grpSp>
    <xdr:clientData/>
  </xdr:twoCellAnchor>
  <xdr:twoCellAnchor>
    <xdr:from>
      <xdr:col>3</xdr:col>
      <xdr:colOff>9526</xdr:colOff>
      <xdr:row>10</xdr:row>
      <xdr:rowOff>28575</xdr:rowOff>
    </xdr:from>
    <xdr:to>
      <xdr:col>3</xdr:col>
      <xdr:colOff>2838450</xdr:colOff>
      <xdr:row>10</xdr:row>
      <xdr:rowOff>180975</xdr:rowOff>
    </xdr:to>
    <xdr:sp macro="[0]!Chamar_lista_materiais_ESTOQUE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4048126" y="2828925"/>
          <a:ext cx="2828924" cy="1524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(Clique</a:t>
          </a:r>
          <a:r>
            <a:rPr lang="en-US" sz="1200" b="1" baseline="0"/>
            <a:t> aqui para s</a:t>
          </a:r>
          <a:r>
            <a:rPr lang="en-US" sz="1200" b="1"/>
            <a:t>elecionar o material)</a:t>
          </a:r>
        </a:p>
      </xdr:txBody>
    </xdr:sp>
    <xdr:clientData/>
  </xdr:twoCellAnchor>
  <xdr:twoCellAnchor editAs="oneCell">
    <xdr:from>
      <xdr:col>1</xdr:col>
      <xdr:colOff>1</xdr:colOff>
      <xdr:row>10</xdr:row>
      <xdr:rowOff>0</xdr:rowOff>
    </xdr:from>
    <xdr:to>
      <xdr:col>2</xdr:col>
      <xdr:colOff>0</xdr:colOff>
      <xdr:row>11</xdr:row>
      <xdr:rowOff>0</xdr:rowOff>
    </xdr:to>
    <xdr:sp macro="[0]!Calendário_D1" textlink="">
      <xdr:nvSpPr>
        <xdr:cNvPr id="25" name="Paralelogram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5467351" y="2800350"/>
          <a:ext cx="1228724" cy="209550"/>
        </a:xfrm>
        <a:prstGeom prst="parallelogram">
          <a:avLst>
            <a:gd name="adj" fmla="val 0"/>
          </a:avLst>
        </a:prstGeom>
        <a:solidFill>
          <a:schemeClr val="accent4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INÍCIO</a:t>
          </a:r>
        </a:p>
      </xdr:txBody>
    </xdr:sp>
    <xdr:clientData/>
  </xdr:twoCellAnchor>
  <xdr:twoCellAnchor editAs="oneCell">
    <xdr:from>
      <xdr:col>2</xdr:col>
      <xdr:colOff>0</xdr:colOff>
      <xdr:row>10</xdr:row>
      <xdr:rowOff>1</xdr:rowOff>
    </xdr:from>
    <xdr:to>
      <xdr:col>3</xdr:col>
      <xdr:colOff>1</xdr:colOff>
      <xdr:row>11</xdr:row>
      <xdr:rowOff>1</xdr:rowOff>
    </xdr:to>
    <xdr:sp macro="[0]!Calendário_D2" textlink="">
      <xdr:nvSpPr>
        <xdr:cNvPr id="26" name="Paralelogram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6696075" y="2800351"/>
          <a:ext cx="1257301" cy="209550"/>
        </a:xfrm>
        <a:prstGeom prst="parallelogram">
          <a:avLst>
            <a:gd name="adj" fmla="val 0"/>
          </a:avLst>
        </a:prstGeom>
        <a:solidFill>
          <a:schemeClr val="accent4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TÉRMINIO</a:t>
          </a:r>
        </a:p>
      </xdr:txBody>
    </xdr:sp>
    <xdr:clientData/>
  </xdr:twoCellAnchor>
  <xdr:twoCellAnchor>
    <xdr:from>
      <xdr:col>8</xdr:col>
      <xdr:colOff>57150</xdr:colOff>
      <xdr:row>8</xdr:row>
      <xdr:rowOff>352425</xdr:rowOff>
    </xdr:from>
    <xdr:to>
      <xdr:col>10</xdr:col>
      <xdr:colOff>66675</xdr:colOff>
      <xdr:row>16</xdr:row>
      <xdr:rowOff>0</xdr:rowOff>
    </xdr:to>
    <xdr:sp macro="[0]!Estoque_Ficha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11153775" y="1971675"/>
          <a:ext cx="523875" cy="1866900"/>
        </a:xfrm>
        <a:prstGeom prst="rect">
          <a:avLst/>
        </a:prstGeom>
        <a:solidFill>
          <a:schemeClr val="accent4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t-BR" sz="2000" b="1"/>
            <a:t>Ficha</a:t>
          </a:r>
          <a:r>
            <a:rPr lang="pt-BR" sz="2000" b="1" baseline="0"/>
            <a:t> Completa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257175</xdr:colOff>
      <xdr:row>0</xdr:row>
      <xdr:rowOff>76200</xdr:rowOff>
    </xdr:from>
    <xdr:to>
      <xdr:col>20</xdr:col>
      <xdr:colOff>95250</xdr:colOff>
      <xdr:row>2</xdr:row>
      <xdr:rowOff>142875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2230100" y="76200"/>
          <a:ext cx="447675" cy="447675"/>
          <a:chOff x="276225" y="2543175"/>
          <a:chExt cx="1276350" cy="1276350"/>
        </a:xfrm>
      </xdr:grpSpPr>
      <xdr:sp macro="[0]!Ir_Menu_GERAL_LOGOUT" textlink="">
        <xdr:nvSpPr>
          <xdr:cNvPr id="3" name="Elips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Ir_Menu_GERAL_LOGOUT"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409575</xdr:colOff>
      <xdr:row>0</xdr:row>
      <xdr:rowOff>171450</xdr:rowOff>
    </xdr:from>
    <xdr:to>
      <xdr:col>19</xdr:col>
      <xdr:colOff>514350</xdr:colOff>
      <xdr:row>2</xdr:row>
      <xdr:rowOff>28575</xdr:rowOff>
    </xdr:to>
    <xdr:sp macro="[0]!Ir_Menu_GERAL_LOGOUT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11039475" y="171450"/>
          <a:ext cx="13239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LOGOUT / SAIR</a:t>
          </a:r>
        </a:p>
      </xdr:txBody>
    </xdr:sp>
    <xdr:clientData/>
  </xdr:twoCellAnchor>
  <xdr:twoCellAnchor editAs="absolute">
    <xdr:from>
      <xdr:col>7</xdr:col>
      <xdr:colOff>252413</xdr:colOff>
      <xdr:row>47</xdr:row>
      <xdr:rowOff>38100</xdr:rowOff>
    </xdr:from>
    <xdr:to>
      <xdr:col>11</xdr:col>
      <xdr:colOff>4762</xdr:colOff>
      <xdr:row>56</xdr:row>
      <xdr:rowOff>19049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3113" y="9163050"/>
          <a:ext cx="1581149" cy="1581149"/>
        </a:xfrm>
        <a:prstGeom prst="rect">
          <a:avLst/>
        </a:prstGeom>
      </xdr:spPr>
    </xdr:pic>
    <xdr:clientData/>
  </xdr:twoCellAnchor>
  <xdr:twoCellAnchor>
    <xdr:from>
      <xdr:col>5</xdr:col>
      <xdr:colOff>381000</xdr:colOff>
      <xdr:row>55</xdr:row>
      <xdr:rowOff>0</xdr:rowOff>
    </xdr:from>
    <xdr:to>
      <xdr:col>13</xdr:col>
      <xdr:colOff>123825</xdr:colOff>
      <xdr:row>55</xdr:row>
      <xdr:rowOff>180975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4981575" y="11868150"/>
          <a:ext cx="340995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0</xdr:col>
      <xdr:colOff>257175</xdr:colOff>
      <xdr:row>0</xdr:row>
      <xdr:rowOff>28575</xdr:rowOff>
    </xdr:from>
    <xdr:to>
      <xdr:col>19</xdr:col>
      <xdr:colOff>316003</xdr:colOff>
      <xdr:row>8</xdr:row>
      <xdr:rowOff>152400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257175" y="28575"/>
          <a:ext cx="12031753" cy="1543050"/>
          <a:chOff x="257175" y="28575"/>
          <a:chExt cx="12026465" cy="1543050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10" name="Agrupa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GrpSpPr/>
        </xdr:nvGrpSpPr>
        <xdr:grpSpPr>
          <a:xfrm>
            <a:off x="1895725" y="28575"/>
            <a:ext cx="10387915" cy="1181100"/>
            <a:chOff x="1895725" y="28575"/>
            <a:chExt cx="10387915" cy="1181100"/>
          </a:xfrm>
        </xdr:grpSpPr>
        <xdr:grpSp>
          <xdr:nvGrpSpPr>
            <xdr:cNvPr id="11" name="Agrupar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GrpSpPr/>
          </xdr:nvGrpSpPr>
          <xdr:grpSpPr>
            <a:xfrm>
              <a:off x="1895725" y="657225"/>
              <a:ext cx="10387915" cy="552450"/>
              <a:chOff x="1895725" y="657225"/>
              <a:chExt cx="10387915" cy="552450"/>
            </a:xfrm>
          </xdr:grpSpPr>
          <xdr:sp macro="[0]!Ir_Menu_ADM" textlink="">
            <xdr:nvSpPr>
              <xdr:cNvPr id="13" name="Paralelogramo 12">
                <a:extLst>
                  <a:ext uri="{FF2B5EF4-FFF2-40B4-BE49-F238E27FC236}">
                    <a16:creationId xmlns:a16="http://schemas.microsoft.com/office/drawing/2014/main" id="{00000000-0008-0000-0500-00000D000000}"/>
                  </a:ext>
                </a:extLst>
              </xdr:cNvPr>
              <xdr:cNvSpPr/>
            </xdr:nvSpPr>
            <xdr:spPr>
              <a:xfrm>
                <a:off x="1895725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HOME - ADM</a:t>
                </a:r>
              </a:p>
            </xdr:txBody>
          </xdr:sp>
          <xdr:sp macro="[0]!Ir_Menu_Relatórios" textlink="">
            <xdr:nvSpPr>
              <xdr:cNvPr id="14" name="Paralelogramo 13">
                <a:extLst>
                  <a:ext uri="{FF2B5EF4-FFF2-40B4-BE49-F238E27FC236}">
                    <a16:creationId xmlns:a16="http://schemas.microsoft.com/office/drawing/2014/main" id="{00000000-0008-0000-0500-00000E000000}"/>
                  </a:ext>
                </a:extLst>
              </xdr:cNvPr>
              <xdr:cNvSpPr/>
            </xdr:nvSpPr>
            <xdr:spPr>
              <a:xfrm>
                <a:off x="3590752" y="657225"/>
                <a:ext cx="1752600" cy="552450"/>
              </a:xfrm>
              <a:prstGeom prst="parallelogram">
                <a:avLst/>
              </a:prstGeom>
              <a:solidFill>
                <a:srgbClr val="00206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 baseline="0"/>
                  <a:t>RELATÓRIOS</a:t>
                </a:r>
                <a:endParaRPr lang="en-US" sz="1400" b="1"/>
              </a:p>
            </xdr:txBody>
          </xdr:sp>
          <xdr:sp macro="[0]!IR_Vender_para_Industria" textlink="">
            <xdr:nvSpPr>
              <xdr:cNvPr id="15" name="Paralelogramo 14">
                <a:extLst>
                  <a:ext uri="{FF2B5EF4-FFF2-40B4-BE49-F238E27FC236}">
                    <a16:creationId xmlns:a16="http://schemas.microsoft.com/office/drawing/2014/main" id="{00000000-0008-0000-0500-00000F000000}"/>
                  </a:ext>
                </a:extLst>
              </xdr:cNvPr>
              <xdr:cNvSpPr/>
            </xdr:nvSpPr>
            <xdr:spPr>
              <a:xfrm>
                <a:off x="5285779" y="657225"/>
                <a:ext cx="1832503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VENDER</a:t>
                </a:r>
              </a:p>
            </xdr:txBody>
          </xdr:sp>
          <xdr:sp macro="[0]!Ir_Menu_Associados" textlink="">
            <xdr:nvSpPr>
              <xdr:cNvPr id="16" name="Paralelogramo 15">
                <a:extLst>
                  <a:ext uri="{FF2B5EF4-FFF2-40B4-BE49-F238E27FC236}">
                    <a16:creationId xmlns:a16="http://schemas.microsoft.com/office/drawing/2014/main" id="{00000000-0008-0000-0500-000010000000}"/>
                  </a:ext>
                </a:extLst>
              </xdr:cNvPr>
              <xdr:cNvSpPr/>
            </xdr:nvSpPr>
            <xdr:spPr>
              <a:xfrm>
                <a:off x="7060709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ASSOCIADOS</a:t>
                </a:r>
              </a:p>
            </xdr:txBody>
          </xdr:sp>
          <xdr:sp macro="[0]!Ir_Menu_PreçosEDITÁVEL" textlink="">
            <xdr:nvSpPr>
              <xdr:cNvPr id="17" name="Paralelogramo 16">
                <a:extLst>
                  <a:ext uri="{FF2B5EF4-FFF2-40B4-BE49-F238E27FC236}">
                    <a16:creationId xmlns:a16="http://schemas.microsoft.com/office/drawing/2014/main" id="{00000000-0008-0000-0500-000011000000}"/>
                  </a:ext>
                </a:extLst>
              </xdr:cNvPr>
              <xdr:cNvSpPr/>
            </xdr:nvSpPr>
            <xdr:spPr>
              <a:xfrm>
                <a:off x="8755736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PREÇOS</a:t>
                </a:r>
              </a:p>
            </xdr:txBody>
          </xdr:sp>
          <xdr:sp macro="[0]!Ir_Menu_ADMINISTRADORES" textlink="">
            <xdr:nvSpPr>
              <xdr:cNvPr id="18" name="Paralelogramo 17">
                <a:extLst>
                  <a:ext uri="{FF2B5EF4-FFF2-40B4-BE49-F238E27FC236}">
                    <a16:creationId xmlns:a16="http://schemas.microsoft.com/office/drawing/2014/main" id="{00000000-0008-0000-0500-000012000000}"/>
                  </a:ext>
                </a:extLst>
              </xdr:cNvPr>
              <xdr:cNvSpPr/>
            </xdr:nvSpPr>
            <xdr:spPr>
              <a:xfrm>
                <a:off x="10450764" y="657225"/>
                <a:ext cx="1832876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EDITAR SENHAS</a:t>
                </a:r>
              </a:p>
            </xdr:txBody>
          </xdr:sp>
        </xdr:grpSp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 txBox="1"/>
          </xdr:nvSpPr>
          <xdr:spPr>
            <a:xfrm>
              <a:off x="5829300" y="28575"/>
              <a:ext cx="978195" cy="361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2400" b="1" cap="none" spc="0">
                  <a:ln w="22225">
                    <a:solidFill>
                      <a:schemeClr val="bg1"/>
                    </a:solidFill>
                    <a:prstDash val="solid"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ACARI</a:t>
              </a:r>
            </a:p>
          </xdr:txBody>
        </xdr:sp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1750458</xdr:colOff>
      <xdr:row>7</xdr:row>
      <xdr:rowOff>100230</xdr:rowOff>
    </xdr:from>
    <xdr:to>
      <xdr:col>6</xdr:col>
      <xdr:colOff>64723</xdr:colOff>
      <xdr:row>8</xdr:row>
      <xdr:rowOff>0</xdr:rowOff>
    </xdr:to>
    <xdr:grpSp>
      <xdr:nvGrpSpPr>
        <xdr:cNvPr id="2" name="MenuExtrat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426858" y="1328955"/>
          <a:ext cx="7048690" cy="290295"/>
          <a:chOff x="4250241" y="1327897"/>
          <a:chExt cx="7064641" cy="294714"/>
        </a:xfrm>
      </xdr:grpSpPr>
      <xdr:sp macro="[0]!Ir_Menu_Estoque" textlink="">
        <xdr:nvSpPr>
          <xdr:cNvPr id="3" name="btnAdicionar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4250241" y="1327897"/>
            <a:ext cx="2306661" cy="294714"/>
          </a:xfrm>
          <a:prstGeom prst="parallelogram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 baseline="0"/>
              <a:t>ESTOQUE</a:t>
            </a:r>
            <a:endParaRPr lang="en-US" sz="1400" b="1" i="1"/>
          </a:p>
        </xdr:txBody>
      </xdr:sp>
      <xdr:sp macro="[0]!Ir_Menu_FluxoDeCaixa" textlink="">
        <xdr:nvSpPr>
          <xdr:cNvPr id="4" name="btnImprimir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6631129" y="1327897"/>
            <a:ext cx="2306661" cy="294714"/>
          </a:xfrm>
          <a:prstGeom prst="parallelogram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FLUXO</a:t>
            </a:r>
            <a:r>
              <a:rPr lang="en-US" sz="1400" b="1" i="1" baseline="0"/>
              <a:t> DE CAIXA</a:t>
            </a:r>
            <a:endParaRPr lang="en-US" sz="1400" b="1" i="1"/>
          </a:p>
        </xdr:txBody>
      </xdr:sp>
      <xdr:sp macro="" textlink="">
        <xdr:nvSpPr>
          <xdr:cNvPr id="5" name="btnImprimir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9008221" y="1327897"/>
            <a:ext cx="2306661" cy="294714"/>
          </a:xfrm>
          <a:prstGeom prst="parallelogram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>
                <a:solidFill>
                  <a:schemeClr val="bg1"/>
                </a:solidFill>
              </a:rPr>
              <a:t>REGISTRAR</a:t>
            </a:r>
            <a:r>
              <a:rPr lang="en-US" sz="1400" b="1" i="1" baseline="0"/>
              <a:t> DESPESAS</a:t>
            </a:r>
          </a:p>
        </xdr:txBody>
      </xdr:sp>
    </xdr:grpSp>
    <xdr:clientData/>
  </xdr:twoCellAnchor>
  <xdr:twoCellAnchor editAs="absolute">
    <xdr:from>
      <xdr:col>3</xdr:col>
      <xdr:colOff>1073528</xdr:colOff>
      <xdr:row>0</xdr:row>
      <xdr:rowOff>28575</xdr:rowOff>
    </xdr:from>
    <xdr:to>
      <xdr:col>3</xdr:col>
      <xdr:colOff>2193555</xdr:colOff>
      <xdr:row>2</xdr:row>
      <xdr:rowOff>9524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5836028" y="28575"/>
          <a:ext cx="1120027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  <xdr:twoCellAnchor editAs="absolute">
    <xdr:from>
      <xdr:col>3</xdr:col>
      <xdr:colOff>1370920</xdr:colOff>
      <xdr:row>21</xdr:row>
      <xdr:rowOff>19050</xdr:rowOff>
    </xdr:from>
    <xdr:to>
      <xdr:col>3</xdr:col>
      <xdr:colOff>2752726</xdr:colOff>
      <xdr:row>29</xdr:row>
      <xdr:rowOff>23217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3420" y="4743450"/>
          <a:ext cx="1381806" cy="1318617"/>
        </a:xfrm>
        <a:prstGeom prst="rect">
          <a:avLst/>
        </a:prstGeom>
      </xdr:spPr>
    </xdr:pic>
    <xdr:clientData/>
  </xdr:twoCellAnchor>
  <xdr:twoCellAnchor editAs="absolute">
    <xdr:from>
      <xdr:col>3</xdr:col>
      <xdr:colOff>1156606</xdr:colOff>
      <xdr:row>1048576</xdr:row>
      <xdr:rowOff>57150</xdr:rowOff>
    </xdr:from>
    <xdr:to>
      <xdr:col>4</xdr:col>
      <xdr:colOff>200024</xdr:colOff>
      <xdr:row>1048576</xdr:row>
      <xdr:rowOff>57151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5919106" y="7534275"/>
          <a:ext cx="1910443" cy="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8</xdr:col>
      <xdr:colOff>266700</xdr:colOff>
      <xdr:row>0</xdr:row>
      <xdr:rowOff>76200</xdr:rowOff>
    </xdr:from>
    <xdr:to>
      <xdr:col>10</xdr:col>
      <xdr:colOff>133350</xdr:colOff>
      <xdr:row>2</xdr:row>
      <xdr:rowOff>142875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11915775" y="76200"/>
          <a:ext cx="447675" cy="447675"/>
          <a:chOff x="276225" y="2543175"/>
          <a:chExt cx="1276350" cy="1276350"/>
        </a:xfrm>
      </xdr:grpSpPr>
      <xdr:sp macro="[0]!Ir_Menu_GERAL_LOGOUT" textlink="">
        <xdr:nvSpPr>
          <xdr:cNvPr id="10" name="Elipse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Ir_Menu_GERAL_LOGOUT"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990600</xdr:colOff>
      <xdr:row>0</xdr:row>
      <xdr:rowOff>171450</xdr:rowOff>
    </xdr:from>
    <xdr:to>
      <xdr:col>8</xdr:col>
      <xdr:colOff>142875</xdr:colOff>
      <xdr:row>2</xdr:row>
      <xdr:rowOff>28575</xdr:rowOff>
    </xdr:to>
    <xdr:sp macro="[0]!Ir_Menu_GERAL_LOGOUT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10715625" y="171450"/>
          <a:ext cx="14382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LOGOUT / SAIR</a:t>
          </a:r>
        </a:p>
      </xdr:txBody>
    </xdr:sp>
    <xdr:clientData/>
  </xdr:twoCellAnchor>
  <xdr:twoCellAnchor editAs="absolute">
    <xdr:from>
      <xdr:col>0</xdr:col>
      <xdr:colOff>266700</xdr:colOff>
      <xdr:row>2</xdr:row>
      <xdr:rowOff>142874</xdr:rowOff>
    </xdr:from>
    <xdr:to>
      <xdr:col>10</xdr:col>
      <xdr:colOff>68353</xdr:colOff>
      <xdr:row>7</xdr:row>
      <xdr:rowOff>342900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pSpPr/>
      </xdr:nvGrpSpPr>
      <xdr:grpSpPr>
        <a:xfrm>
          <a:off x="266700" y="523874"/>
          <a:ext cx="12031753" cy="1047751"/>
          <a:chOff x="257175" y="523874"/>
          <a:chExt cx="12026465" cy="1047751"/>
        </a:xfrm>
      </xdr:grpSpPr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/>
        </xdr:nvGrpSpPr>
        <xdr:grpSpPr>
          <a:xfrm>
            <a:off x="1895725" y="657225"/>
            <a:ext cx="10387915" cy="552450"/>
            <a:chOff x="1895725" y="657225"/>
            <a:chExt cx="10387915" cy="552450"/>
          </a:xfrm>
        </xdr:grpSpPr>
        <xdr:sp macro="[0]!Ir_Menu_ADM" textlink="">
          <xdr:nvSpPr>
            <xdr:cNvPr id="16" name="Paralelogramo 15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1895725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HOME - ADM</a:t>
              </a:r>
            </a:p>
          </xdr:txBody>
        </xdr:sp>
        <xdr:sp macro="[0]!Ir_Menu_Relatórios" textlink="">
          <xdr:nvSpPr>
            <xdr:cNvPr id="17" name="Paralelogramo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/>
          </xdr:nvSpPr>
          <xdr:spPr>
            <a:xfrm>
              <a:off x="3590752" y="657225"/>
              <a:ext cx="1752600" cy="552450"/>
            </a:xfrm>
            <a:prstGeom prst="parallelogram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 baseline="0"/>
                <a:t>RELATÓRIOS</a:t>
              </a:r>
              <a:endParaRPr lang="en-US" sz="1400" b="1"/>
            </a:p>
          </xdr:txBody>
        </xdr:sp>
        <xdr:sp macro="[0]!IR_Vender_para_Industria" textlink="">
          <xdr:nvSpPr>
            <xdr:cNvPr id="18" name="Paralelogramo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/>
          </xdr:nvSpPr>
          <xdr:spPr>
            <a:xfrm>
              <a:off x="5285779" y="657225"/>
              <a:ext cx="1832503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VENDER</a:t>
              </a:r>
            </a:p>
          </xdr:txBody>
        </xdr:sp>
        <xdr:sp macro="[0]!Ir_Menu_Associados" textlink="">
          <xdr:nvSpPr>
            <xdr:cNvPr id="19" name="Paralelogramo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7060709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ASSOCIADOS</a:t>
              </a:r>
            </a:p>
          </xdr:txBody>
        </xdr:sp>
        <xdr:sp macro="[0]!Ir_Menu_PreçosEDITÁVEL" textlink="">
          <xdr:nvSpPr>
            <xdr:cNvPr id="20" name="Paralelogramo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/>
          </xdr:nvSpPr>
          <xdr:spPr>
            <a:xfrm>
              <a:off x="8755736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PREÇOS</a:t>
              </a:r>
            </a:p>
          </xdr:txBody>
        </xdr:sp>
        <xdr:sp macro="[0]!Ir_Menu_ADMINISTRADORES" textlink="">
          <xdr:nvSpPr>
            <xdr:cNvPr id="21" name="Paralelogramo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/>
          </xdr:nvSpPr>
          <xdr:spPr>
            <a:xfrm>
              <a:off x="10450764" y="657225"/>
              <a:ext cx="1832876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EDITAR SENHAS</a:t>
              </a:r>
            </a:p>
          </xdr:txBody>
        </xdr:sp>
      </xdr:grpSp>
    </xdr:grpSp>
    <xdr:clientData/>
  </xdr:twoCellAnchor>
  <xdr:twoCellAnchor editAs="oneCell">
    <xdr:from>
      <xdr:col>2</xdr:col>
      <xdr:colOff>1</xdr:colOff>
      <xdr:row>8</xdr:row>
      <xdr:rowOff>600074</xdr:rowOff>
    </xdr:from>
    <xdr:to>
      <xdr:col>3</xdr:col>
      <xdr:colOff>0</xdr:colOff>
      <xdr:row>9</xdr:row>
      <xdr:rowOff>352424</xdr:rowOff>
    </xdr:to>
    <xdr:sp macro="[0]!calendário" textlink="">
      <xdr:nvSpPr>
        <xdr:cNvPr id="23" name="Paralelogram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3533776" y="2219324"/>
          <a:ext cx="1228724" cy="352425"/>
        </a:xfrm>
        <a:prstGeom prst="parallelogram">
          <a:avLst>
            <a:gd name="adj" fmla="val 0"/>
          </a:avLst>
        </a:prstGeom>
        <a:solidFill>
          <a:schemeClr val="accent4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DATA</a:t>
          </a:r>
        </a:p>
      </xdr:txBody>
    </xdr:sp>
    <xdr:clientData/>
  </xdr:twoCellAnchor>
  <xdr:twoCellAnchor editAs="oneCell">
    <xdr:from>
      <xdr:col>5</xdr:col>
      <xdr:colOff>85727</xdr:colOff>
      <xdr:row>9</xdr:row>
      <xdr:rowOff>0</xdr:rowOff>
    </xdr:from>
    <xdr:to>
      <xdr:col>5</xdr:col>
      <xdr:colOff>685801</xdr:colOff>
      <xdr:row>15</xdr:row>
      <xdr:rowOff>9526</xdr:rowOff>
    </xdr:to>
    <xdr:sp macro="[0]!Registrar_despesas" textlink="">
      <xdr:nvSpPr>
        <xdr:cNvPr id="25" name="Paralelogram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9448802" y="2219325"/>
          <a:ext cx="600074" cy="1609726"/>
        </a:xfrm>
        <a:prstGeom prst="parallelogram">
          <a:avLst>
            <a:gd name="adj" fmla="val 0"/>
          </a:avLst>
        </a:prstGeom>
        <a:solidFill>
          <a:schemeClr val="accent4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2000" b="1"/>
            <a:t>REGISTRAR</a:t>
          </a:r>
          <a:endParaRPr lang="en-US" sz="11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257176</xdr:colOff>
      <xdr:row>2</xdr:row>
      <xdr:rowOff>142874</xdr:rowOff>
    </xdr:from>
    <xdr:to>
      <xdr:col>1</xdr:col>
      <xdr:colOff>485777</xdr:colOff>
      <xdr:row>8</xdr:row>
      <xdr:rowOff>47625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523874"/>
          <a:ext cx="1047751" cy="942976"/>
        </a:xfrm>
        <a:prstGeom prst="rect">
          <a:avLst/>
        </a:prstGeom>
      </xdr:spPr>
    </xdr:pic>
    <xdr:clientData/>
  </xdr:twoCellAnchor>
  <xdr:twoCellAnchor>
    <xdr:from>
      <xdr:col>1</xdr:col>
      <xdr:colOff>2600325</xdr:colOff>
      <xdr:row>4</xdr:row>
      <xdr:rowOff>0</xdr:rowOff>
    </xdr:from>
    <xdr:to>
      <xdr:col>10</xdr:col>
      <xdr:colOff>228600</xdr:colOff>
      <xdr:row>6</xdr:row>
      <xdr:rowOff>171450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3419475" y="657225"/>
          <a:ext cx="7753350" cy="552450"/>
          <a:chOff x="2466975" y="609600"/>
          <a:chExt cx="9693781" cy="552450"/>
        </a:xfrm>
      </xdr:grpSpPr>
      <xdr:sp macro="[0]!Ir_Menu_ADM" textlink="">
        <xdr:nvSpPr>
          <xdr:cNvPr id="4" name="Paralelogramo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466975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HOME - ADM</a:t>
            </a:r>
          </a:p>
        </xdr:txBody>
      </xdr:sp>
      <xdr:sp macro="" textlink="">
        <xdr:nvSpPr>
          <xdr:cNvPr id="5" name="Paralelogram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4394595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  <xdr:sp macro="" textlink="">
        <xdr:nvSpPr>
          <xdr:cNvPr id="6" name="Paralelogramo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6322216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  <xdr:sp macro="" textlink="">
        <xdr:nvSpPr>
          <xdr:cNvPr id="7" name="Paralelogramo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8249836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  <xdr:sp macro="" textlink="">
        <xdr:nvSpPr>
          <xdr:cNvPr id="8" name="Paralelogramo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0177457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</xdr:grpSp>
    <xdr:clientData/>
  </xdr:twoCellAnchor>
  <xdr:twoCellAnchor>
    <xdr:from>
      <xdr:col>5</xdr:col>
      <xdr:colOff>575690</xdr:colOff>
      <xdr:row>0</xdr:row>
      <xdr:rowOff>28575</xdr:rowOff>
    </xdr:from>
    <xdr:to>
      <xdr:col>6</xdr:col>
      <xdr:colOff>19050</xdr:colOff>
      <xdr:row>2</xdr:row>
      <xdr:rowOff>28575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6233540" y="28575"/>
          <a:ext cx="96736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645558</xdr:colOff>
      <xdr:row>7</xdr:row>
      <xdr:rowOff>100230</xdr:rowOff>
    </xdr:from>
    <xdr:to>
      <xdr:col>9</xdr:col>
      <xdr:colOff>302848</xdr:colOff>
      <xdr:row>8</xdr:row>
      <xdr:rowOff>0</xdr:rowOff>
    </xdr:to>
    <xdr:grpSp>
      <xdr:nvGrpSpPr>
        <xdr:cNvPr id="2" name="MenuExtrat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3426858" y="1328955"/>
          <a:ext cx="7048690" cy="290295"/>
          <a:chOff x="4250241" y="1327897"/>
          <a:chExt cx="7064641" cy="294714"/>
        </a:xfrm>
      </xdr:grpSpPr>
      <xdr:sp macro="[0]!Ir_Menu_Estoque" textlink="">
        <xdr:nvSpPr>
          <xdr:cNvPr id="3" name="btnAdicionar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250241" y="1327897"/>
            <a:ext cx="2306661" cy="294714"/>
          </a:xfrm>
          <a:prstGeom prst="parallelogram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 baseline="0"/>
              <a:t>ESTOQUE</a:t>
            </a:r>
            <a:endParaRPr lang="en-US" sz="1400" b="1" i="1"/>
          </a:p>
        </xdr:txBody>
      </xdr:sp>
      <xdr:sp macro="" textlink="">
        <xdr:nvSpPr>
          <xdr:cNvPr id="4" name="btnImprimir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6631129" y="1327897"/>
            <a:ext cx="2306661" cy="294714"/>
          </a:xfrm>
          <a:prstGeom prst="parallelogram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FLUXO</a:t>
            </a:r>
            <a:r>
              <a:rPr lang="en-US" sz="1400" b="1" i="1" baseline="0"/>
              <a:t> DE CAIXA</a:t>
            </a:r>
            <a:endParaRPr lang="en-US" sz="1400" b="1" i="1"/>
          </a:p>
        </xdr:txBody>
      </xdr:sp>
      <xdr:sp macro="[0]!Ir_Menu_Despesas" textlink="">
        <xdr:nvSpPr>
          <xdr:cNvPr id="5" name="btnImprimir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9008221" y="1327897"/>
            <a:ext cx="2306661" cy="294714"/>
          </a:xfrm>
          <a:prstGeom prst="parallelogram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REGISTRAR</a:t>
            </a:r>
            <a:r>
              <a:rPr lang="en-US" sz="1400" b="1" i="1" baseline="0"/>
              <a:t> DESPESAS</a:t>
            </a:r>
          </a:p>
        </xdr:txBody>
      </xdr:sp>
    </xdr:grpSp>
    <xdr:clientData/>
  </xdr:twoCellAnchor>
  <xdr:twoCellAnchor editAs="absolute">
    <xdr:from>
      <xdr:col>3</xdr:col>
      <xdr:colOff>1797428</xdr:colOff>
      <xdr:row>0</xdr:row>
      <xdr:rowOff>28575</xdr:rowOff>
    </xdr:from>
    <xdr:to>
      <xdr:col>4</xdr:col>
      <xdr:colOff>593355</xdr:colOff>
      <xdr:row>2</xdr:row>
      <xdr:rowOff>9524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5836028" y="28575"/>
          <a:ext cx="1120027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  <xdr:twoCellAnchor editAs="absolute">
    <xdr:from>
      <xdr:col>3</xdr:col>
      <xdr:colOff>1799544</xdr:colOff>
      <xdr:row>20</xdr:row>
      <xdr:rowOff>76200</xdr:rowOff>
    </xdr:from>
    <xdr:to>
      <xdr:col>5</xdr:col>
      <xdr:colOff>290511</xdr:colOff>
      <xdr:row>28</xdr:row>
      <xdr:rowOff>104775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8144" y="4676775"/>
          <a:ext cx="1577067" cy="1438275"/>
        </a:xfrm>
        <a:prstGeom prst="rect">
          <a:avLst/>
        </a:prstGeom>
      </xdr:spPr>
    </xdr:pic>
    <xdr:clientData/>
  </xdr:twoCellAnchor>
  <xdr:twoCellAnchor editAs="absolute">
    <xdr:from>
      <xdr:col>3</xdr:col>
      <xdr:colOff>1880506</xdr:colOff>
      <xdr:row>28</xdr:row>
      <xdr:rowOff>104775</xdr:rowOff>
    </xdr:from>
    <xdr:to>
      <xdr:col>5</xdr:col>
      <xdr:colOff>704849</xdr:colOff>
      <xdr:row>28</xdr:row>
      <xdr:rowOff>104776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5919106" y="7534275"/>
          <a:ext cx="1910443" cy="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12</xdr:col>
      <xdr:colOff>533400</xdr:colOff>
      <xdr:row>0</xdr:row>
      <xdr:rowOff>76200</xdr:rowOff>
    </xdr:from>
    <xdr:to>
      <xdr:col>13</xdr:col>
      <xdr:colOff>266700</xdr:colOff>
      <xdr:row>2</xdr:row>
      <xdr:rowOff>142875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pSpPr/>
      </xdr:nvGrpSpPr>
      <xdr:grpSpPr>
        <a:xfrm>
          <a:off x="11915775" y="76200"/>
          <a:ext cx="447675" cy="447675"/>
          <a:chOff x="276225" y="2543175"/>
          <a:chExt cx="1276350" cy="1276350"/>
        </a:xfrm>
      </xdr:grpSpPr>
      <xdr:sp macro="[0]!Ir_Menu_GERAL_LOGOUT" textlink="">
        <xdr:nvSpPr>
          <xdr:cNvPr id="10" name="Elipse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Ir_Menu_GERAL_LOGOUT"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533400</xdr:colOff>
      <xdr:row>0</xdr:row>
      <xdr:rowOff>171450</xdr:rowOff>
    </xdr:from>
    <xdr:to>
      <xdr:col>12</xdr:col>
      <xdr:colOff>552450</xdr:colOff>
      <xdr:row>2</xdr:row>
      <xdr:rowOff>28575</xdr:rowOff>
    </xdr:to>
    <xdr:sp macro="[0]!Ir_Menu_GERAL_LOGOUT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10706100" y="171450"/>
          <a:ext cx="12287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LOGOUT / SAIR</a:t>
          </a:r>
        </a:p>
      </xdr:txBody>
    </xdr:sp>
    <xdr:clientData/>
  </xdr:twoCellAnchor>
  <xdr:twoCellAnchor editAs="absolute">
    <xdr:from>
      <xdr:col>0</xdr:col>
      <xdr:colOff>266700</xdr:colOff>
      <xdr:row>2</xdr:row>
      <xdr:rowOff>142874</xdr:rowOff>
    </xdr:from>
    <xdr:to>
      <xdr:col>13</xdr:col>
      <xdr:colOff>201703</xdr:colOff>
      <xdr:row>7</xdr:row>
      <xdr:rowOff>342900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266700" y="523874"/>
          <a:ext cx="12031753" cy="1047751"/>
          <a:chOff x="257175" y="523874"/>
          <a:chExt cx="12026465" cy="1047751"/>
        </a:xfrm>
      </xdr:grpSpPr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GrpSpPr/>
        </xdr:nvGrpSpPr>
        <xdr:grpSpPr>
          <a:xfrm>
            <a:off x="1895725" y="657225"/>
            <a:ext cx="10387915" cy="552450"/>
            <a:chOff x="1895725" y="657225"/>
            <a:chExt cx="10387915" cy="552450"/>
          </a:xfrm>
        </xdr:grpSpPr>
        <xdr:sp macro="[0]!Ir_Menu_ADM" textlink="">
          <xdr:nvSpPr>
            <xdr:cNvPr id="16" name="Paralelogramo 15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SpPr/>
          </xdr:nvSpPr>
          <xdr:spPr>
            <a:xfrm>
              <a:off x="1895725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HOME - ADM</a:t>
              </a:r>
            </a:p>
          </xdr:txBody>
        </xdr:sp>
        <xdr:sp macro="[0]!Ir_Menu_Relatórios" textlink="">
          <xdr:nvSpPr>
            <xdr:cNvPr id="17" name="Paralelogramo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/>
          </xdr:nvSpPr>
          <xdr:spPr>
            <a:xfrm>
              <a:off x="3590752" y="657225"/>
              <a:ext cx="1752600" cy="552450"/>
            </a:xfrm>
            <a:prstGeom prst="parallelogram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 baseline="0"/>
                <a:t>RELATÓRIOS</a:t>
              </a:r>
              <a:endParaRPr lang="en-US" sz="1400" b="1"/>
            </a:p>
          </xdr:txBody>
        </xdr:sp>
        <xdr:sp macro="[0]!IR_Vender_para_Industria" textlink="">
          <xdr:nvSpPr>
            <xdr:cNvPr id="18" name="Paralelogramo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/>
          </xdr:nvSpPr>
          <xdr:spPr>
            <a:xfrm>
              <a:off x="5285779" y="657225"/>
              <a:ext cx="1832503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VENDER</a:t>
              </a:r>
            </a:p>
          </xdr:txBody>
        </xdr:sp>
        <xdr:sp macro="[0]!Ir_Menu_Associados" textlink="">
          <xdr:nvSpPr>
            <xdr:cNvPr id="19" name="Paralelogramo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/>
          </xdr:nvSpPr>
          <xdr:spPr>
            <a:xfrm>
              <a:off x="7060709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ASSOCIADOS</a:t>
              </a:r>
            </a:p>
          </xdr:txBody>
        </xdr:sp>
        <xdr:sp macro="[0]!Ir_Menu_PreçosEDITÁVEL" textlink="">
          <xdr:nvSpPr>
            <xdr:cNvPr id="20" name="Paralelogramo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/>
          </xdr:nvSpPr>
          <xdr:spPr>
            <a:xfrm>
              <a:off x="8755736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PREÇOS</a:t>
              </a:r>
            </a:p>
          </xdr:txBody>
        </xdr:sp>
        <xdr:sp macro="[0]!Ir_Menu_ADMINISTRADORES" textlink="">
          <xdr:nvSpPr>
            <xdr:cNvPr id="21" name="Paralelogramo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/>
          </xdr:nvSpPr>
          <xdr:spPr>
            <a:xfrm>
              <a:off x="10450764" y="657225"/>
              <a:ext cx="1832876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EDITAR SENHAS</a:t>
              </a:r>
            </a:p>
          </xdr:txBody>
        </xdr:sp>
      </xdr:grpSp>
    </xdr:grpSp>
    <xdr:clientData/>
  </xdr:twoCellAnchor>
  <xdr:twoCellAnchor editAs="oneCell">
    <xdr:from>
      <xdr:col>1</xdr:col>
      <xdr:colOff>1</xdr:colOff>
      <xdr:row>10</xdr:row>
      <xdr:rowOff>0</xdr:rowOff>
    </xdr:from>
    <xdr:to>
      <xdr:col>2</xdr:col>
      <xdr:colOff>0</xdr:colOff>
      <xdr:row>11</xdr:row>
      <xdr:rowOff>0</xdr:rowOff>
    </xdr:to>
    <xdr:sp macro="[0]!Calendário_D1" textlink="">
      <xdr:nvSpPr>
        <xdr:cNvPr id="23" name="Paralelogramo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1552576" y="2333625"/>
          <a:ext cx="1228724" cy="209550"/>
        </a:xfrm>
        <a:prstGeom prst="parallelogram">
          <a:avLst>
            <a:gd name="adj" fmla="val 0"/>
          </a:avLst>
        </a:prstGeom>
        <a:solidFill>
          <a:schemeClr val="accent4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INÍCIO</a:t>
          </a:r>
        </a:p>
      </xdr:txBody>
    </xdr:sp>
    <xdr:clientData/>
  </xdr:twoCellAnchor>
  <xdr:twoCellAnchor editAs="oneCell">
    <xdr:from>
      <xdr:col>2</xdr:col>
      <xdr:colOff>0</xdr:colOff>
      <xdr:row>10</xdr:row>
      <xdr:rowOff>1</xdr:rowOff>
    </xdr:from>
    <xdr:to>
      <xdr:col>3</xdr:col>
      <xdr:colOff>1</xdr:colOff>
      <xdr:row>11</xdr:row>
      <xdr:rowOff>1</xdr:rowOff>
    </xdr:to>
    <xdr:sp macro="[0]!Calendário_D2" textlink="">
      <xdr:nvSpPr>
        <xdr:cNvPr id="24" name="Paralelogramo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2781300" y="2333626"/>
          <a:ext cx="1257301" cy="209550"/>
        </a:xfrm>
        <a:prstGeom prst="parallelogram">
          <a:avLst>
            <a:gd name="adj" fmla="val 0"/>
          </a:avLst>
        </a:prstGeom>
        <a:solidFill>
          <a:schemeClr val="accent4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TÉRMINIO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257176</xdr:colOff>
      <xdr:row>2</xdr:row>
      <xdr:rowOff>142874</xdr:rowOff>
    </xdr:from>
    <xdr:to>
      <xdr:col>1</xdr:col>
      <xdr:colOff>1038227</xdr:colOff>
      <xdr:row>8</xdr:row>
      <xdr:rowOff>47625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523874"/>
          <a:ext cx="1047751" cy="942976"/>
        </a:xfrm>
        <a:prstGeom prst="rect">
          <a:avLst/>
        </a:prstGeom>
      </xdr:spPr>
    </xdr:pic>
    <xdr:clientData/>
  </xdr:twoCellAnchor>
  <xdr:twoCellAnchor>
    <xdr:from>
      <xdr:col>1</xdr:col>
      <xdr:colOff>2600325</xdr:colOff>
      <xdr:row>4</xdr:row>
      <xdr:rowOff>0</xdr:rowOff>
    </xdr:from>
    <xdr:to>
      <xdr:col>10</xdr:col>
      <xdr:colOff>228600</xdr:colOff>
      <xdr:row>6</xdr:row>
      <xdr:rowOff>171450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2867025" y="657225"/>
          <a:ext cx="7753350" cy="552450"/>
          <a:chOff x="2466975" y="609600"/>
          <a:chExt cx="9693781" cy="552450"/>
        </a:xfrm>
      </xdr:grpSpPr>
      <xdr:sp macro="[0]!Ir_Menu_ADM" textlink="">
        <xdr:nvSpPr>
          <xdr:cNvPr id="9" name="Paralelogram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2466975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HOME - ADM</a:t>
            </a:r>
          </a:p>
        </xdr:txBody>
      </xdr:sp>
      <xdr:sp macro="" textlink="">
        <xdr:nvSpPr>
          <xdr:cNvPr id="10" name="Paralelogramo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4394595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  <xdr:sp macro="" textlink="">
        <xdr:nvSpPr>
          <xdr:cNvPr id="11" name="Paralelogramo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SpPr/>
        </xdr:nvSpPr>
        <xdr:spPr>
          <a:xfrm>
            <a:off x="6322216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  <xdr:sp macro="" textlink="">
        <xdr:nvSpPr>
          <xdr:cNvPr id="12" name="Paralelogramo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8249836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  <xdr:sp macro="" textlink="">
        <xdr:nvSpPr>
          <xdr:cNvPr id="13" name="Paralelogramo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10177457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</xdr:grpSp>
    <xdr:clientData/>
  </xdr:twoCellAnchor>
  <xdr:twoCellAnchor>
    <xdr:from>
      <xdr:col>5</xdr:col>
      <xdr:colOff>575690</xdr:colOff>
      <xdr:row>0</xdr:row>
      <xdr:rowOff>28575</xdr:rowOff>
    </xdr:from>
    <xdr:to>
      <xdr:col>6</xdr:col>
      <xdr:colOff>19050</xdr:colOff>
      <xdr:row>2</xdr:row>
      <xdr:rowOff>28575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6233540" y="28575"/>
          <a:ext cx="96736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0</xdr:row>
      <xdr:rowOff>19050</xdr:rowOff>
    </xdr:from>
    <xdr:to>
      <xdr:col>14</xdr:col>
      <xdr:colOff>411253</xdr:colOff>
      <xdr:row>8</xdr:row>
      <xdr:rowOff>66675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pSpPr/>
      </xdr:nvGrpSpPr>
      <xdr:grpSpPr>
        <a:xfrm>
          <a:off x="257175" y="19050"/>
          <a:ext cx="12041278" cy="1466850"/>
          <a:chOff x="257175" y="-55977"/>
          <a:chExt cx="12026465" cy="1627602"/>
        </a:xfrm>
      </xdr:grpSpPr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1895725" y="-55977"/>
            <a:ext cx="10387915" cy="1265652"/>
            <a:chOff x="1895725" y="-55977"/>
            <a:chExt cx="10387915" cy="1265652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GrpSpPr/>
          </xdr:nvGrpSpPr>
          <xdr:grpSpPr>
            <a:xfrm>
              <a:off x="1895725" y="657225"/>
              <a:ext cx="10387915" cy="552450"/>
              <a:chOff x="1895725" y="657225"/>
              <a:chExt cx="10387915" cy="552450"/>
            </a:xfrm>
          </xdr:grpSpPr>
          <xdr:sp macro="[0]!Ir_Menu_ADM" textlink="">
            <xdr:nvSpPr>
              <xdr:cNvPr id="20" name="Paralelogramo 19">
                <a:extLst>
                  <a:ext uri="{FF2B5EF4-FFF2-40B4-BE49-F238E27FC236}">
                    <a16:creationId xmlns:a16="http://schemas.microsoft.com/office/drawing/2014/main" id="{00000000-0008-0000-0A00-000014000000}"/>
                  </a:ext>
                </a:extLst>
              </xdr:cNvPr>
              <xdr:cNvSpPr/>
            </xdr:nvSpPr>
            <xdr:spPr>
              <a:xfrm>
                <a:off x="1895725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HOME - ADM</a:t>
                </a:r>
              </a:p>
            </xdr:txBody>
          </xdr:sp>
          <xdr:sp macro="[0]!Ir_Menu_Estoque" textlink="">
            <xdr:nvSpPr>
              <xdr:cNvPr id="21" name="Paralelogramo 20">
                <a:extLst>
                  <a:ext uri="{FF2B5EF4-FFF2-40B4-BE49-F238E27FC236}">
                    <a16:creationId xmlns:a16="http://schemas.microsoft.com/office/drawing/2014/main" id="{00000000-0008-0000-0A00-000015000000}"/>
                  </a:ext>
                </a:extLst>
              </xdr:cNvPr>
              <xdr:cNvSpPr/>
            </xdr:nvSpPr>
            <xdr:spPr>
              <a:xfrm>
                <a:off x="3590752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 baseline="0"/>
                  <a:t>RELATÓRIOS</a:t>
                </a:r>
                <a:endParaRPr lang="en-US" sz="1400" b="1"/>
              </a:p>
            </xdr:txBody>
          </xdr:sp>
          <xdr:sp macro="[0]!IR_Vender_para_Industria" textlink="">
            <xdr:nvSpPr>
              <xdr:cNvPr id="22" name="Paralelogramo 21">
                <a:extLst>
                  <a:ext uri="{FF2B5EF4-FFF2-40B4-BE49-F238E27FC236}">
                    <a16:creationId xmlns:a16="http://schemas.microsoft.com/office/drawing/2014/main" id="{00000000-0008-0000-0A00-000016000000}"/>
                  </a:ext>
                </a:extLst>
              </xdr:cNvPr>
              <xdr:cNvSpPr/>
            </xdr:nvSpPr>
            <xdr:spPr>
              <a:xfrm>
                <a:off x="5285779" y="657225"/>
                <a:ext cx="1832503" cy="552450"/>
              </a:xfrm>
              <a:prstGeom prst="parallelogram">
                <a:avLst/>
              </a:prstGeom>
              <a:solidFill>
                <a:srgbClr val="00206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VENDER</a:t>
                </a:r>
              </a:p>
            </xdr:txBody>
          </xdr:sp>
          <xdr:sp macro="[0]!Ir_Menu_Associados" textlink="">
            <xdr:nvSpPr>
              <xdr:cNvPr id="23" name="Paralelogramo 22">
                <a:extLst>
                  <a:ext uri="{FF2B5EF4-FFF2-40B4-BE49-F238E27FC236}">
                    <a16:creationId xmlns:a16="http://schemas.microsoft.com/office/drawing/2014/main" id="{00000000-0008-0000-0A00-000017000000}"/>
                  </a:ext>
                </a:extLst>
              </xdr:cNvPr>
              <xdr:cNvSpPr/>
            </xdr:nvSpPr>
            <xdr:spPr>
              <a:xfrm>
                <a:off x="7060709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ASSOCIADOS</a:t>
                </a:r>
              </a:p>
            </xdr:txBody>
          </xdr:sp>
          <xdr:sp macro="[0]!Ir_Menu_PreçosEDITÁVEL" textlink="">
            <xdr:nvSpPr>
              <xdr:cNvPr id="24" name="Paralelogramo 23">
                <a:extLst>
                  <a:ext uri="{FF2B5EF4-FFF2-40B4-BE49-F238E27FC236}">
                    <a16:creationId xmlns:a16="http://schemas.microsoft.com/office/drawing/2014/main" id="{00000000-0008-0000-0A00-000018000000}"/>
                  </a:ext>
                </a:extLst>
              </xdr:cNvPr>
              <xdr:cNvSpPr/>
            </xdr:nvSpPr>
            <xdr:spPr>
              <a:xfrm>
                <a:off x="8755736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PREÇOS</a:t>
                </a:r>
              </a:p>
            </xdr:txBody>
          </xdr:sp>
          <xdr:sp macro="[0]!Ir_Menu_ADMINISTRADORES" textlink="">
            <xdr:nvSpPr>
              <xdr:cNvPr id="25" name="Paralelogramo 24">
                <a:extLst>
                  <a:ext uri="{FF2B5EF4-FFF2-40B4-BE49-F238E27FC236}">
                    <a16:creationId xmlns:a16="http://schemas.microsoft.com/office/drawing/2014/main" id="{00000000-0008-0000-0A00-000019000000}"/>
                  </a:ext>
                </a:extLst>
              </xdr:cNvPr>
              <xdr:cNvSpPr/>
            </xdr:nvSpPr>
            <xdr:spPr>
              <a:xfrm>
                <a:off x="10450764" y="657225"/>
                <a:ext cx="1832876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EDITAR SENHAS</a:t>
                </a:r>
              </a:p>
            </xdr:txBody>
          </xdr:sp>
        </xdr:grpSp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 txBox="1"/>
          </xdr:nvSpPr>
          <xdr:spPr>
            <a:xfrm>
              <a:off x="5829300" y="-55977"/>
              <a:ext cx="978195" cy="41218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2400" b="1" cap="none" spc="0">
                  <a:ln w="22225">
                    <a:solidFill>
                      <a:schemeClr val="bg1"/>
                    </a:solidFill>
                    <a:prstDash val="solid"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ACARI</a:t>
              </a:r>
            </a:p>
          </xdr:txBody>
        </xdr:sp>
      </xdr:grpSp>
    </xdr:grpSp>
    <xdr:clientData/>
  </xdr:twoCellAnchor>
  <xdr:twoCellAnchor>
    <xdr:from>
      <xdr:col>6</xdr:col>
      <xdr:colOff>83583</xdr:colOff>
      <xdr:row>12</xdr:row>
      <xdr:rowOff>24028</xdr:rowOff>
    </xdr:from>
    <xdr:to>
      <xdr:col>9</xdr:col>
      <xdr:colOff>48525</xdr:colOff>
      <xdr:row>15</xdr:row>
      <xdr:rowOff>155760</xdr:rowOff>
    </xdr:to>
    <xdr:grpSp>
      <xdr:nvGrpSpPr>
        <xdr:cNvPr id="9" name="MenuExtrato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pSpPr/>
      </xdr:nvGrpSpPr>
      <xdr:grpSpPr>
        <a:xfrm>
          <a:off x="7132083" y="2443378"/>
          <a:ext cx="1631817" cy="703232"/>
          <a:chOff x="9013818" y="916845"/>
          <a:chExt cx="1632186" cy="705766"/>
        </a:xfrm>
      </xdr:grpSpPr>
      <xdr:sp macro="[0]!Adicionar_EXTRATO_EMPRESA" textlink="">
        <xdr:nvSpPr>
          <xdr:cNvPr id="10" name="btnAdicionar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9013818" y="916845"/>
            <a:ext cx="1632186" cy="294714"/>
          </a:xfrm>
          <a:prstGeom prst="parallelogram">
            <a:avLst/>
          </a:prstGeom>
          <a:solidFill>
            <a:schemeClr val="accent4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 baseline="0">
                <a:solidFill>
                  <a:sysClr val="windowText" lastClr="000000"/>
                </a:solidFill>
              </a:rPr>
              <a:t>ADICIONAR</a:t>
            </a:r>
            <a:endParaRPr lang="en-US" sz="1400" b="1" i="1">
              <a:solidFill>
                <a:sysClr val="windowText" lastClr="000000"/>
              </a:solidFill>
            </a:endParaRPr>
          </a:p>
        </xdr:txBody>
      </xdr:sp>
      <xdr:sp macro="[0]!IMPRIMIR_EMPRESA" textlink="">
        <xdr:nvSpPr>
          <xdr:cNvPr id="11" name="btnImprimir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9013818" y="1327897"/>
            <a:ext cx="1632186" cy="294714"/>
          </a:xfrm>
          <a:prstGeom prst="parallelogram">
            <a:avLst/>
          </a:prstGeom>
          <a:solidFill>
            <a:schemeClr val="accent4"/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>
                <a:solidFill>
                  <a:sysClr val="windowText" lastClr="000000"/>
                </a:solidFill>
              </a:rPr>
              <a:t>IMPRIMIR</a:t>
            </a:r>
          </a:p>
        </xdr:txBody>
      </xdr:sp>
    </xdr:grpSp>
    <xdr:clientData/>
  </xdr:twoCellAnchor>
  <xdr:twoCellAnchor editAs="absolute">
    <xdr:from>
      <xdr:col>5</xdr:col>
      <xdr:colOff>266019</xdr:colOff>
      <xdr:row>26</xdr:row>
      <xdr:rowOff>55792</xdr:rowOff>
    </xdr:from>
    <xdr:to>
      <xdr:col>7</xdr:col>
      <xdr:colOff>119061</xdr:colOff>
      <xdr:row>35</xdr:row>
      <xdr:rowOff>28575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1494" y="5208817"/>
          <a:ext cx="1577067" cy="1572983"/>
        </a:xfrm>
        <a:prstGeom prst="rect">
          <a:avLst/>
        </a:prstGeom>
      </xdr:spPr>
    </xdr:pic>
    <xdr:clientData/>
  </xdr:twoCellAnchor>
  <xdr:twoCellAnchor editAs="absolute">
    <xdr:from>
      <xdr:col>5</xdr:col>
      <xdr:colOff>99331</xdr:colOff>
      <xdr:row>33</xdr:row>
      <xdr:rowOff>126549</xdr:rowOff>
    </xdr:from>
    <xdr:to>
      <xdr:col>8</xdr:col>
      <xdr:colOff>95249</xdr:colOff>
      <xdr:row>34</xdr:row>
      <xdr:rowOff>161925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 txBox="1"/>
      </xdr:nvSpPr>
      <xdr:spPr>
        <a:xfrm>
          <a:off x="5804806" y="6498774"/>
          <a:ext cx="1910443" cy="225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>
    <xdr:from>
      <xdr:col>3</xdr:col>
      <xdr:colOff>9524</xdr:colOff>
      <xdr:row>9</xdr:row>
      <xdr:rowOff>9526</xdr:rowOff>
    </xdr:from>
    <xdr:to>
      <xdr:col>3</xdr:col>
      <xdr:colOff>2133524</xdr:colOff>
      <xdr:row>9</xdr:row>
      <xdr:rowOff>209550</xdr:rowOff>
    </xdr:to>
    <xdr:sp macro="[0]!Chamar_lista_materiai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381374" y="1619251"/>
          <a:ext cx="2124000" cy="200024"/>
        </a:xfrm>
        <a:prstGeom prst="rect">
          <a:avLst/>
        </a:prstGeom>
        <a:solidFill>
          <a:schemeClr val="accent4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Materiais</a:t>
          </a:r>
        </a:p>
      </xdr:txBody>
    </xdr:sp>
    <xdr:clientData/>
  </xdr:twoCellAnchor>
  <xdr:twoCellAnchor editAs="absolute">
    <xdr:from>
      <xdr:col>14</xdr:col>
      <xdr:colOff>438150</xdr:colOff>
      <xdr:row>0</xdr:row>
      <xdr:rowOff>57150</xdr:rowOff>
    </xdr:from>
    <xdr:to>
      <xdr:col>15</xdr:col>
      <xdr:colOff>57150</xdr:colOff>
      <xdr:row>2</xdr:row>
      <xdr:rowOff>123825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pSpPr/>
      </xdr:nvGrpSpPr>
      <xdr:grpSpPr>
        <a:xfrm>
          <a:off x="12325350" y="57150"/>
          <a:ext cx="447675" cy="447675"/>
          <a:chOff x="276225" y="2543175"/>
          <a:chExt cx="1276350" cy="1276350"/>
        </a:xfrm>
      </xdr:grpSpPr>
      <xdr:sp macro="[0]!Ir_Menu_GERAL_LOGOUT" textlink="">
        <xdr:nvSpPr>
          <xdr:cNvPr id="27" name="Elipse 26">
            <a:extLst>
              <a:ext uri="{FF2B5EF4-FFF2-40B4-BE49-F238E27FC236}">
                <a16:creationId xmlns:a16="http://schemas.microsoft.com/office/drawing/2014/main" id="{00000000-0008-0000-0A00-00001B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Ir_Menu_GERAL_LOGOUT"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1800225</xdr:colOff>
      <xdr:row>0</xdr:row>
      <xdr:rowOff>152400</xdr:rowOff>
    </xdr:from>
    <xdr:to>
      <xdr:col>14</xdr:col>
      <xdr:colOff>400050</xdr:colOff>
      <xdr:row>2</xdr:row>
      <xdr:rowOff>9525</xdr:rowOff>
    </xdr:to>
    <xdr:sp macro="[0]!Ir_Menu_GERAL_LOGOUT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/>
      </xdr:nvSpPr>
      <xdr:spPr>
        <a:xfrm>
          <a:off x="10963275" y="152400"/>
          <a:ext cx="13239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LOGOUT / SAIR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257176</xdr:colOff>
      <xdr:row>2</xdr:row>
      <xdr:rowOff>142874</xdr:rowOff>
    </xdr:from>
    <xdr:to>
      <xdr:col>1</xdr:col>
      <xdr:colOff>1038227</xdr:colOff>
      <xdr:row>8</xdr:row>
      <xdr:rowOff>47625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6" y="523874"/>
          <a:ext cx="1047751" cy="942976"/>
        </a:xfrm>
        <a:prstGeom prst="rect">
          <a:avLst/>
        </a:prstGeom>
      </xdr:spPr>
    </xdr:pic>
    <xdr:clientData/>
  </xdr:twoCellAnchor>
  <xdr:twoCellAnchor>
    <xdr:from>
      <xdr:col>5</xdr:col>
      <xdr:colOff>947165</xdr:colOff>
      <xdr:row>0</xdr:row>
      <xdr:rowOff>28575</xdr:rowOff>
    </xdr:from>
    <xdr:to>
      <xdr:col>6</xdr:col>
      <xdr:colOff>404240</xdr:colOff>
      <xdr:row>1</xdr:row>
      <xdr:rowOff>173624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5585840" y="28575"/>
          <a:ext cx="981075" cy="335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12</xdr:col>
      <xdr:colOff>253799</xdr:colOff>
      <xdr:row>6</xdr:row>
      <xdr:rowOff>171450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3390900" y="657225"/>
          <a:ext cx="7454699" cy="552450"/>
          <a:chOff x="2466975" y="609600"/>
          <a:chExt cx="9693781" cy="552450"/>
        </a:xfrm>
      </xdr:grpSpPr>
      <xdr:sp macro="[0]!Ir_Menu_ADM" textlink="">
        <xdr:nvSpPr>
          <xdr:cNvPr id="9" name="Paralelogramo 8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SpPr/>
        </xdr:nvSpPr>
        <xdr:spPr>
          <a:xfrm>
            <a:off x="2466975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MENU - ADM</a:t>
            </a:r>
          </a:p>
        </xdr:txBody>
      </xdr:sp>
      <xdr:sp macro="" textlink="">
        <xdr:nvSpPr>
          <xdr:cNvPr id="10" name="Paralelogram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/>
        </xdr:nvSpPr>
        <xdr:spPr>
          <a:xfrm>
            <a:off x="4394595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  <xdr:sp macro="" textlink="">
        <xdr:nvSpPr>
          <xdr:cNvPr id="11" name="Paralelogram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/>
        </xdr:nvSpPr>
        <xdr:spPr>
          <a:xfrm>
            <a:off x="6322216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  <xdr:sp macro="" textlink="">
        <xdr:nvSpPr>
          <xdr:cNvPr id="12" name="Paralelogram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8249836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  <xdr:sp macro="" textlink="">
        <xdr:nvSpPr>
          <xdr:cNvPr id="13" name="Paralelogramo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SpPr/>
        </xdr:nvSpPr>
        <xdr:spPr>
          <a:xfrm>
            <a:off x="10177457" y="609600"/>
            <a:ext cx="1983299" cy="552450"/>
          </a:xfrm>
          <a:prstGeom prst="parallelogram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-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787778</xdr:colOff>
      <xdr:row>0</xdr:row>
      <xdr:rowOff>28575</xdr:rowOff>
    </xdr:from>
    <xdr:to>
      <xdr:col>4</xdr:col>
      <xdr:colOff>993405</xdr:colOff>
      <xdr:row>2</xdr:row>
      <xdr:rowOff>9524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 txBox="1"/>
      </xdr:nvSpPr>
      <xdr:spPr>
        <a:xfrm>
          <a:off x="5902703" y="28575"/>
          <a:ext cx="1120027" cy="361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 cap="none" spc="0">
              <a:ln w="222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ACARI</a:t>
          </a:r>
        </a:p>
      </xdr:txBody>
    </xdr:sp>
    <xdr:clientData/>
  </xdr:twoCellAnchor>
  <xdr:twoCellAnchor editAs="absolute">
    <xdr:from>
      <xdr:col>10</xdr:col>
      <xdr:colOff>333375</xdr:colOff>
      <xdr:row>0</xdr:row>
      <xdr:rowOff>76200</xdr:rowOff>
    </xdr:from>
    <xdr:to>
      <xdr:col>11</xdr:col>
      <xdr:colOff>38100</xdr:colOff>
      <xdr:row>2</xdr:row>
      <xdr:rowOff>142875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GrpSpPr/>
      </xdr:nvGrpSpPr>
      <xdr:grpSpPr>
        <a:xfrm>
          <a:off x="12296775" y="76200"/>
          <a:ext cx="447675" cy="447675"/>
          <a:chOff x="276225" y="2543175"/>
          <a:chExt cx="1276350" cy="1276350"/>
        </a:xfrm>
      </xdr:grpSpPr>
      <xdr:sp macro="[0]!Ir_Menu_GERAL_LOGOUT" textlink="">
        <xdr:nvSpPr>
          <xdr:cNvPr id="28" name="Elipse 27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Ir_Menu_GERAL_LOGOUT">
        <xdr:nvPicPr>
          <xdr:cNvPr id="29" name="Imagem 28">
            <a:extLst>
              <a:ext uri="{FF2B5EF4-FFF2-40B4-BE49-F238E27FC236}">
                <a16:creationId xmlns:a16="http://schemas.microsoft.com/office/drawing/2014/main" id="{00000000-0008-0000-0C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466725</xdr:colOff>
      <xdr:row>0</xdr:row>
      <xdr:rowOff>171450</xdr:rowOff>
    </xdr:from>
    <xdr:to>
      <xdr:col>10</xdr:col>
      <xdr:colOff>295275</xdr:colOff>
      <xdr:row>2</xdr:row>
      <xdr:rowOff>28575</xdr:rowOff>
    </xdr:to>
    <xdr:sp macro="[0]!Ir_Menu_GERAL_LOGOUT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096625" y="171450"/>
          <a:ext cx="13239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LOGOUT / SAIR</a:t>
          </a:r>
        </a:p>
      </xdr:txBody>
    </xdr:sp>
    <xdr:clientData/>
  </xdr:twoCellAnchor>
  <xdr:twoCellAnchor editAs="absolute">
    <xdr:from>
      <xdr:col>1</xdr:col>
      <xdr:colOff>28575</xdr:colOff>
      <xdr:row>2</xdr:row>
      <xdr:rowOff>142874</xdr:rowOff>
    </xdr:from>
    <xdr:to>
      <xdr:col>10</xdr:col>
      <xdr:colOff>401728</xdr:colOff>
      <xdr:row>7</xdr:row>
      <xdr:rowOff>342900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GrpSpPr/>
      </xdr:nvGrpSpPr>
      <xdr:grpSpPr>
        <a:xfrm>
          <a:off x="333375" y="523874"/>
          <a:ext cx="12031753" cy="1047751"/>
          <a:chOff x="257175" y="523874"/>
          <a:chExt cx="12026465" cy="1047751"/>
        </a:xfrm>
      </xdr:grpSpPr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C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GrpSpPr/>
        </xdr:nvGrpSpPr>
        <xdr:grpSpPr>
          <a:xfrm>
            <a:off x="1895725" y="657225"/>
            <a:ext cx="10387915" cy="552450"/>
            <a:chOff x="1895725" y="657225"/>
            <a:chExt cx="10387915" cy="552450"/>
          </a:xfrm>
        </xdr:grpSpPr>
        <xdr:sp macro="[0]!Ir_Menu_ADM" textlink="">
          <xdr:nvSpPr>
            <xdr:cNvPr id="34" name="Paralelogramo 33">
              <a:extLst>
                <a:ext uri="{FF2B5EF4-FFF2-40B4-BE49-F238E27FC236}">
                  <a16:creationId xmlns:a16="http://schemas.microsoft.com/office/drawing/2014/main" id="{00000000-0008-0000-0C00-000022000000}"/>
                </a:ext>
              </a:extLst>
            </xdr:cNvPr>
            <xdr:cNvSpPr/>
          </xdr:nvSpPr>
          <xdr:spPr>
            <a:xfrm>
              <a:off x="1895725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HOME - ADM</a:t>
              </a:r>
            </a:p>
          </xdr:txBody>
        </xdr:sp>
        <xdr:sp macro="[0]!Ir_Menu_Relatórios" textlink="">
          <xdr:nvSpPr>
            <xdr:cNvPr id="35" name="Paralelogramo 34">
              <a:extLst>
                <a:ext uri="{FF2B5EF4-FFF2-40B4-BE49-F238E27FC236}">
                  <a16:creationId xmlns:a16="http://schemas.microsoft.com/office/drawing/2014/main" id="{00000000-0008-0000-0C00-000023000000}"/>
                </a:ext>
              </a:extLst>
            </xdr:cNvPr>
            <xdr:cNvSpPr/>
          </xdr:nvSpPr>
          <xdr:spPr>
            <a:xfrm>
              <a:off x="3590752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 baseline="0"/>
                <a:t>RELATÓRIOS</a:t>
              </a:r>
              <a:endParaRPr lang="en-US" sz="1400" b="1"/>
            </a:p>
          </xdr:txBody>
        </xdr:sp>
        <xdr:sp macro="[0]!IR_Vender_para_Industria" textlink="">
          <xdr:nvSpPr>
            <xdr:cNvPr id="36" name="Paralelogramo 35">
              <a:extLst>
                <a:ext uri="{FF2B5EF4-FFF2-40B4-BE49-F238E27FC236}">
                  <a16:creationId xmlns:a16="http://schemas.microsoft.com/office/drawing/2014/main" id="{00000000-0008-0000-0C00-000024000000}"/>
                </a:ext>
              </a:extLst>
            </xdr:cNvPr>
            <xdr:cNvSpPr/>
          </xdr:nvSpPr>
          <xdr:spPr>
            <a:xfrm>
              <a:off x="5285779" y="657225"/>
              <a:ext cx="1832503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VENDER</a:t>
              </a:r>
            </a:p>
          </xdr:txBody>
        </xdr:sp>
        <xdr:sp macro="[0]!Ir_Menu_Associados" textlink="">
          <xdr:nvSpPr>
            <xdr:cNvPr id="37" name="Paralelogramo 36">
              <a:extLst>
                <a:ext uri="{FF2B5EF4-FFF2-40B4-BE49-F238E27FC236}">
                  <a16:creationId xmlns:a16="http://schemas.microsoft.com/office/drawing/2014/main" id="{00000000-0008-0000-0C00-000025000000}"/>
                </a:ext>
              </a:extLst>
            </xdr:cNvPr>
            <xdr:cNvSpPr/>
          </xdr:nvSpPr>
          <xdr:spPr>
            <a:xfrm>
              <a:off x="7060709" y="657225"/>
              <a:ext cx="1752600" cy="552450"/>
            </a:xfrm>
            <a:prstGeom prst="parallelogram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ASSOCIADOS</a:t>
              </a:r>
            </a:p>
          </xdr:txBody>
        </xdr:sp>
        <xdr:sp macro="[0]!Ir_Menu_PreçosEDITÁVEL" textlink="">
          <xdr:nvSpPr>
            <xdr:cNvPr id="38" name="Paralelogramo 37">
              <a:extLst>
                <a:ext uri="{FF2B5EF4-FFF2-40B4-BE49-F238E27FC236}">
                  <a16:creationId xmlns:a16="http://schemas.microsoft.com/office/drawing/2014/main" id="{00000000-0008-0000-0C00-000026000000}"/>
                </a:ext>
              </a:extLst>
            </xdr:cNvPr>
            <xdr:cNvSpPr/>
          </xdr:nvSpPr>
          <xdr:spPr>
            <a:xfrm>
              <a:off x="8755736" y="657225"/>
              <a:ext cx="1752600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PREÇOS</a:t>
              </a:r>
            </a:p>
          </xdr:txBody>
        </xdr:sp>
        <xdr:sp macro="[0]!Ir_Menu_ADMINISTRADORES" textlink="">
          <xdr:nvSpPr>
            <xdr:cNvPr id="39" name="Paralelogramo 38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:cNvPr>
            <xdr:cNvSpPr/>
          </xdr:nvSpPr>
          <xdr:spPr>
            <a:xfrm>
              <a:off x="10450764" y="657225"/>
              <a:ext cx="1832876" cy="552450"/>
            </a:xfrm>
            <a:prstGeom prst="parallelogram">
              <a:avLst/>
            </a:prstGeom>
            <a:solidFill>
              <a:schemeClr val="bg1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/>
                <a:t>EDITAR SENHAS</a:t>
              </a:r>
            </a:p>
          </xdr:txBody>
        </xdr:sp>
      </xdr:grpSp>
    </xdr:grpSp>
    <xdr:clientData/>
  </xdr:twoCellAnchor>
  <xdr:twoCellAnchor>
    <xdr:from>
      <xdr:col>4</xdr:col>
      <xdr:colOff>19051</xdr:colOff>
      <xdr:row>24</xdr:row>
      <xdr:rowOff>38100</xdr:rowOff>
    </xdr:from>
    <xdr:to>
      <xdr:col>4</xdr:col>
      <xdr:colOff>1600200</xdr:colOff>
      <xdr:row>32</xdr:row>
      <xdr:rowOff>209549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6" y="4514850"/>
          <a:ext cx="1581149" cy="1581149"/>
        </a:xfrm>
        <a:prstGeom prst="rect">
          <a:avLst/>
        </a:prstGeom>
      </xdr:spPr>
    </xdr:pic>
    <xdr:clientData/>
  </xdr:twoCellAnchor>
  <xdr:twoCellAnchor>
    <xdr:from>
      <xdr:col>3</xdr:col>
      <xdr:colOff>733425</xdr:colOff>
      <xdr:row>32</xdr:row>
      <xdr:rowOff>9525</xdr:rowOff>
    </xdr:from>
    <xdr:to>
      <xdr:col>5</xdr:col>
      <xdr:colOff>161925</xdr:colOff>
      <xdr:row>32</xdr:row>
      <xdr:rowOff>257175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5848350" y="5895975"/>
          <a:ext cx="19812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1</xdr:col>
      <xdr:colOff>2133595</xdr:colOff>
      <xdr:row>7</xdr:row>
      <xdr:rowOff>104775</xdr:rowOff>
    </xdr:from>
    <xdr:to>
      <xdr:col>9</xdr:col>
      <xdr:colOff>133535</xdr:colOff>
      <xdr:row>8</xdr:row>
      <xdr:rowOff>4545</xdr:rowOff>
    </xdr:to>
    <xdr:grpSp>
      <xdr:nvGrpSpPr>
        <xdr:cNvPr id="58" name="MenuExtrato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GrpSpPr/>
      </xdr:nvGrpSpPr>
      <xdr:grpSpPr>
        <a:xfrm>
          <a:off x="2438395" y="1333500"/>
          <a:ext cx="9401365" cy="290295"/>
          <a:chOff x="-484853" y="1327897"/>
          <a:chExt cx="9422643" cy="294714"/>
        </a:xfrm>
      </xdr:grpSpPr>
      <xdr:sp macro="[0]!CADASTRAR" textlink="">
        <xdr:nvSpPr>
          <xdr:cNvPr id="59" name="btnCadastrarAssociado">
            <a:extLst>
              <a:ext uri="{FF2B5EF4-FFF2-40B4-BE49-F238E27FC236}">
                <a16:creationId xmlns:a16="http://schemas.microsoft.com/office/drawing/2014/main" id="{00000000-0008-0000-0C00-00003B000000}"/>
              </a:ext>
            </a:extLst>
          </xdr:cNvPr>
          <xdr:cNvSpPr/>
        </xdr:nvSpPr>
        <xdr:spPr>
          <a:xfrm>
            <a:off x="4250241" y="1327897"/>
            <a:ext cx="2306661" cy="294714"/>
          </a:xfrm>
          <a:prstGeom prst="parallelogram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 baseline="0"/>
              <a:t>CADASTRAR</a:t>
            </a:r>
            <a:endParaRPr lang="en-US" sz="1400" b="1" i="1"/>
          </a:p>
        </xdr:txBody>
      </xdr:sp>
      <xdr:sp macro="[0]!Ir_SubMenu_DADOSAssociado" textlink="">
        <xdr:nvSpPr>
          <xdr:cNvPr id="60" name="btnImprimir">
            <a:extLst>
              <a:ext uri="{FF2B5EF4-FFF2-40B4-BE49-F238E27FC236}">
                <a16:creationId xmlns:a16="http://schemas.microsoft.com/office/drawing/2014/main" id="{00000000-0008-0000-0C00-00003C000000}"/>
              </a:ext>
            </a:extLst>
          </xdr:cNvPr>
          <xdr:cNvSpPr/>
        </xdr:nvSpPr>
        <xdr:spPr>
          <a:xfrm>
            <a:off x="6631129" y="1327897"/>
            <a:ext cx="2306661" cy="294714"/>
          </a:xfrm>
          <a:prstGeom prst="parallelogram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BANCO DE DADOS</a:t>
            </a:r>
          </a:p>
        </xdr:txBody>
      </xdr:sp>
      <xdr:sp macro="[0]!EDITAR_CADASTRO" textlink="">
        <xdr:nvSpPr>
          <xdr:cNvPr id="22" name="btnEditarAssociado">
            <a:extLst>
              <a:ext uri="{FF2B5EF4-FFF2-40B4-BE49-F238E27FC236}">
                <a16:creationId xmlns:a16="http://schemas.microsoft.com/office/drawing/2014/main" id="{00000000-0008-0000-0C00-000016000000}"/>
              </a:ext>
            </a:extLst>
          </xdr:cNvPr>
          <xdr:cNvSpPr/>
        </xdr:nvSpPr>
        <xdr:spPr>
          <a:xfrm>
            <a:off x="1882693" y="1327897"/>
            <a:ext cx="2306661" cy="294714"/>
          </a:xfrm>
          <a:prstGeom prst="parallelogram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EDITAR / EXCLUIR</a:t>
            </a:r>
          </a:p>
        </xdr:txBody>
      </xdr:sp>
      <xdr:sp macro="[0]!CONSULTAR_ASSOCIADO" textlink="">
        <xdr:nvSpPr>
          <xdr:cNvPr id="23" name="btnConsultarDados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/>
        </xdr:nvSpPr>
        <xdr:spPr>
          <a:xfrm>
            <a:off x="-484853" y="1327897"/>
            <a:ext cx="2306661" cy="294714"/>
          </a:xfrm>
          <a:prstGeom prst="parallelogram">
            <a:avLst/>
          </a:prstGeom>
          <a:solidFill>
            <a:schemeClr val="accent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i="1"/>
              <a:t>CONSULTAR</a:t>
            </a:r>
            <a:r>
              <a:rPr lang="en-US" sz="1400" b="1" i="1" baseline="0"/>
              <a:t> DADOS</a:t>
            </a:r>
            <a:endParaRPr lang="en-US" sz="1400" b="1" i="1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381000</xdr:colOff>
      <xdr:row>0</xdr:row>
      <xdr:rowOff>76200</xdr:rowOff>
    </xdr:from>
    <xdr:to>
      <xdr:col>18</xdr:col>
      <xdr:colOff>219075</xdr:colOff>
      <xdr:row>2</xdr:row>
      <xdr:rowOff>142875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pSpPr/>
      </xdr:nvGrpSpPr>
      <xdr:grpSpPr>
        <a:xfrm>
          <a:off x="12230100" y="76200"/>
          <a:ext cx="447675" cy="447675"/>
          <a:chOff x="276225" y="2543175"/>
          <a:chExt cx="1276350" cy="1276350"/>
        </a:xfrm>
      </xdr:grpSpPr>
      <xdr:sp macro="[0]!Ir_Menu_GERAL_LOGOUT" textlink="">
        <xdr:nvSpPr>
          <xdr:cNvPr id="5" name="Elips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Ir_Menu_GERAL_LOGOUT"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409575</xdr:colOff>
      <xdr:row>0</xdr:row>
      <xdr:rowOff>171450</xdr:rowOff>
    </xdr:from>
    <xdr:to>
      <xdr:col>17</xdr:col>
      <xdr:colOff>514350</xdr:colOff>
      <xdr:row>2</xdr:row>
      <xdr:rowOff>28575</xdr:rowOff>
    </xdr:to>
    <xdr:sp macro="[0]!Ir_Menu_GERAL_LOGOUT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11039475" y="171450"/>
          <a:ext cx="13239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LOGOUT / SAIR</a:t>
          </a:r>
        </a:p>
      </xdr:txBody>
    </xdr:sp>
    <xdr:clientData/>
  </xdr:twoCellAnchor>
  <xdr:twoCellAnchor editAs="absolute">
    <xdr:from>
      <xdr:col>6</xdr:col>
      <xdr:colOff>271463</xdr:colOff>
      <xdr:row>47</xdr:row>
      <xdr:rowOff>28575</xdr:rowOff>
    </xdr:from>
    <xdr:to>
      <xdr:col>11</xdr:col>
      <xdr:colOff>4762</xdr:colOff>
      <xdr:row>56</xdr:row>
      <xdr:rowOff>9524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3113" y="9020175"/>
          <a:ext cx="1581149" cy="1581149"/>
        </a:xfrm>
        <a:prstGeom prst="rect">
          <a:avLst/>
        </a:prstGeom>
      </xdr:spPr>
    </xdr:pic>
    <xdr:clientData/>
  </xdr:twoCellAnchor>
  <xdr:twoCellAnchor>
    <xdr:from>
      <xdr:col>5</xdr:col>
      <xdr:colOff>685800</xdr:colOff>
      <xdr:row>55</xdr:row>
      <xdr:rowOff>0</xdr:rowOff>
    </xdr:from>
    <xdr:to>
      <xdr:col>11</xdr:col>
      <xdr:colOff>361950</xdr:colOff>
      <xdr:row>55</xdr:row>
      <xdr:rowOff>180975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/>
      </xdr:nvSpPr>
      <xdr:spPr>
        <a:xfrm>
          <a:off x="5476875" y="10401300"/>
          <a:ext cx="231457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>
              <a:solidFill>
                <a:srgbClr val="002060"/>
              </a:solidFill>
            </a:rPr>
            <a:t>Desenvolvido</a:t>
          </a:r>
          <a:r>
            <a:rPr lang="en-US" sz="1100" b="0" baseline="0">
              <a:solidFill>
                <a:srgbClr val="002060"/>
              </a:solidFill>
            </a:rPr>
            <a:t> em Excel VBA</a:t>
          </a:r>
          <a:endParaRPr lang="en-US" sz="1100" b="0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0</xdr:col>
      <xdr:colOff>257175</xdr:colOff>
      <xdr:row>0</xdr:row>
      <xdr:rowOff>28575</xdr:rowOff>
    </xdr:from>
    <xdr:to>
      <xdr:col>17</xdr:col>
      <xdr:colOff>439828</xdr:colOff>
      <xdr:row>44</xdr:row>
      <xdr:rowOff>38100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257175" y="28575"/>
          <a:ext cx="12031753" cy="8429625"/>
          <a:chOff x="257175" y="28575"/>
          <a:chExt cx="12026465" cy="8429625"/>
        </a:xfrm>
      </xdr:grpSpPr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/>
        </xdr:nvGrpSpPr>
        <xdr:grpSpPr>
          <a:xfrm>
            <a:off x="1895725" y="28575"/>
            <a:ext cx="10387915" cy="8429625"/>
            <a:chOff x="1895725" y="28575"/>
            <a:chExt cx="10387915" cy="8429625"/>
          </a:xfrm>
        </xdr:grpSpPr>
        <xdr:grpSp>
          <xdr:nvGrpSpPr>
            <xdr:cNvPr id="13" name="Agrupar 12">
              <a:extLst>
                <a:ext uri="{FF2B5EF4-FFF2-40B4-BE49-F238E27FC236}">
                  <a16:creationId xmlns:a16="http://schemas.microsoft.com/office/drawing/2014/main" id="{00000000-0008-0000-0D00-00000D000000}"/>
                </a:ext>
              </a:extLst>
            </xdr:cNvPr>
            <xdr:cNvGrpSpPr/>
          </xdr:nvGrpSpPr>
          <xdr:grpSpPr>
            <a:xfrm>
              <a:off x="1895725" y="657225"/>
              <a:ext cx="10387915" cy="7800975"/>
              <a:chOff x="1895725" y="657225"/>
              <a:chExt cx="10387915" cy="7800975"/>
            </a:xfrm>
          </xdr:grpSpPr>
          <xdr:sp macro="[0]!Ir_Menu_ADM" textlink="">
            <xdr:nvSpPr>
              <xdr:cNvPr id="15" name="Paralelogramo 14">
                <a:extLst>
                  <a:ext uri="{FF2B5EF4-FFF2-40B4-BE49-F238E27FC236}">
                    <a16:creationId xmlns:a16="http://schemas.microsoft.com/office/drawing/2014/main" id="{00000000-0008-0000-0D00-00000F000000}"/>
                  </a:ext>
                </a:extLst>
              </xdr:cNvPr>
              <xdr:cNvSpPr/>
            </xdr:nvSpPr>
            <xdr:spPr>
              <a:xfrm>
                <a:off x="1895725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HOME - ADM</a:t>
                </a:r>
              </a:p>
            </xdr:txBody>
          </xdr:sp>
          <xdr:sp macro="[0]!Ir_Menu_Relatórios" textlink="">
            <xdr:nvSpPr>
              <xdr:cNvPr id="16" name="Paralelogramo 15">
                <a:extLst>
                  <a:ext uri="{FF2B5EF4-FFF2-40B4-BE49-F238E27FC236}">
                    <a16:creationId xmlns:a16="http://schemas.microsoft.com/office/drawing/2014/main" id="{00000000-0008-0000-0D00-000010000000}"/>
                  </a:ext>
                </a:extLst>
              </xdr:cNvPr>
              <xdr:cNvSpPr/>
            </xdr:nvSpPr>
            <xdr:spPr>
              <a:xfrm>
                <a:off x="3590752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 baseline="0"/>
                  <a:t>RELATÓRIOS</a:t>
                </a:r>
                <a:endParaRPr lang="en-US" sz="1400" b="1"/>
              </a:p>
            </xdr:txBody>
          </xdr:sp>
          <xdr:sp macro="[0]!IR_Vender_para_Industria" textlink="">
            <xdr:nvSpPr>
              <xdr:cNvPr id="17" name="Paralelogramo 16">
                <a:extLst>
                  <a:ext uri="{FF2B5EF4-FFF2-40B4-BE49-F238E27FC236}">
                    <a16:creationId xmlns:a16="http://schemas.microsoft.com/office/drawing/2014/main" id="{00000000-0008-0000-0D00-000011000000}"/>
                  </a:ext>
                </a:extLst>
              </xdr:cNvPr>
              <xdr:cNvSpPr/>
            </xdr:nvSpPr>
            <xdr:spPr>
              <a:xfrm>
                <a:off x="5285779" y="657225"/>
                <a:ext cx="1832503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VENDER</a:t>
                </a:r>
              </a:p>
            </xdr:txBody>
          </xdr:sp>
          <xdr:sp macro="[0]!Ir_Menu_Associados" textlink="">
            <xdr:nvSpPr>
              <xdr:cNvPr id="18" name="Paralelogramo 17">
                <a:extLst>
                  <a:ext uri="{FF2B5EF4-FFF2-40B4-BE49-F238E27FC236}">
                    <a16:creationId xmlns:a16="http://schemas.microsoft.com/office/drawing/2014/main" id="{00000000-0008-0000-0D00-000012000000}"/>
                  </a:ext>
                </a:extLst>
              </xdr:cNvPr>
              <xdr:cNvSpPr/>
            </xdr:nvSpPr>
            <xdr:spPr>
              <a:xfrm>
                <a:off x="7060709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ASSOCIADOS</a:t>
                </a:r>
              </a:p>
            </xdr:txBody>
          </xdr:sp>
          <xdr:sp macro="[0]!Ir_Menu_PreçosEDITÁVEL" textlink="">
            <xdr:nvSpPr>
              <xdr:cNvPr id="19" name="Paralelogramo 18">
                <a:extLst>
                  <a:ext uri="{FF2B5EF4-FFF2-40B4-BE49-F238E27FC236}">
                    <a16:creationId xmlns:a16="http://schemas.microsoft.com/office/drawing/2014/main" id="{00000000-0008-0000-0D00-000013000000}"/>
                  </a:ext>
                </a:extLst>
              </xdr:cNvPr>
              <xdr:cNvSpPr/>
            </xdr:nvSpPr>
            <xdr:spPr>
              <a:xfrm>
                <a:off x="8755736" y="657225"/>
                <a:ext cx="1752600" cy="552450"/>
              </a:xfrm>
              <a:prstGeom prst="parallelogram">
                <a:avLst/>
              </a:prstGeom>
              <a:solidFill>
                <a:srgbClr val="00206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PREÇOS</a:t>
                </a:r>
              </a:p>
            </xdr:txBody>
          </xdr:sp>
          <xdr:sp macro="[0]!Ir_Menu_ADMINISTRADORES" textlink="">
            <xdr:nvSpPr>
              <xdr:cNvPr id="20" name="Paralelogramo 19">
                <a:extLst>
                  <a:ext uri="{FF2B5EF4-FFF2-40B4-BE49-F238E27FC236}">
                    <a16:creationId xmlns:a16="http://schemas.microsoft.com/office/drawing/2014/main" id="{00000000-0008-0000-0D00-000014000000}"/>
                  </a:ext>
                </a:extLst>
              </xdr:cNvPr>
              <xdr:cNvSpPr/>
            </xdr:nvSpPr>
            <xdr:spPr>
              <a:xfrm>
                <a:off x="10450764" y="657225"/>
                <a:ext cx="1832876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EDITAR SENHAS</a:t>
                </a:r>
              </a:p>
            </xdr:txBody>
          </xdr:sp>
          <xdr:sp macro="[0]!Copiar_Tabela_De_PREÇOS" textlink="">
            <xdr:nvSpPr>
              <xdr:cNvPr id="21" name="Paralelogramo 20">
                <a:extLst>
                  <a:ext uri="{FF2B5EF4-FFF2-40B4-BE49-F238E27FC236}">
                    <a16:creationId xmlns:a16="http://schemas.microsoft.com/office/drawing/2014/main" id="{00000000-0008-0000-0D00-000015000000}"/>
                  </a:ext>
                </a:extLst>
              </xdr:cNvPr>
              <xdr:cNvSpPr/>
            </xdr:nvSpPr>
            <xdr:spPr>
              <a:xfrm>
                <a:off x="8269853" y="1819275"/>
                <a:ext cx="1974656" cy="552450"/>
              </a:xfrm>
              <a:prstGeom prst="parallelogram">
                <a:avLst/>
              </a:prstGeom>
              <a:solidFill>
                <a:schemeClr val="accent4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3200" b="1"/>
                  <a:t>SALVAR</a:t>
                </a:r>
              </a:p>
            </xdr:txBody>
          </xdr:sp>
          <xdr:sp macro="[0]!Copiar_Tabela_De_PREÇOS" textlink="">
            <xdr:nvSpPr>
              <xdr:cNvPr id="35" name="Paralelogramo 34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/>
            </xdr:nvSpPr>
            <xdr:spPr>
              <a:xfrm>
                <a:off x="8269853" y="7905750"/>
                <a:ext cx="1974656" cy="552450"/>
              </a:xfrm>
              <a:prstGeom prst="parallelogram">
                <a:avLst/>
              </a:prstGeom>
              <a:solidFill>
                <a:schemeClr val="accent4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3200" b="1"/>
                  <a:t>SALVAR</a:t>
                </a:r>
              </a:p>
            </xdr:txBody>
          </xdr:sp>
        </xdr:grpSp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00000000-0008-0000-0D00-00000E000000}"/>
                </a:ext>
              </a:extLst>
            </xdr:cNvPr>
            <xdr:cNvSpPr txBox="1"/>
          </xdr:nvSpPr>
          <xdr:spPr>
            <a:xfrm>
              <a:off x="5829300" y="28575"/>
              <a:ext cx="978195" cy="361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2400" b="1" cap="none" spc="0">
                  <a:ln w="22225">
                    <a:solidFill>
                      <a:schemeClr val="bg1"/>
                    </a:solidFill>
                    <a:prstDash val="solid"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ACARI</a:t>
              </a: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257175</xdr:colOff>
      <xdr:row>0</xdr:row>
      <xdr:rowOff>28575</xdr:rowOff>
    </xdr:from>
    <xdr:to>
      <xdr:col>10</xdr:col>
      <xdr:colOff>96928</xdr:colOff>
      <xdr:row>8</xdr:row>
      <xdr:rowOff>152400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pSpPr/>
      </xdr:nvGrpSpPr>
      <xdr:grpSpPr>
        <a:xfrm>
          <a:off x="257175" y="28575"/>
          <a:ext cx="12031753" cy="1543050"/>
          <a:chOff x="257175" y="28575"/>
          <a:chExt cx="12026465" cy="1543050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E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0000000-0008-0000-0E00-000011000000}"/>
              </a:ext>
            </a:extLst>
          </xdr:cNvPr>
          <xdr:cNvGrpSpPr/>
        </xdr:nvGrpSpPr>
        <xdr:grpSpPr>
          <a:xfrm>
            <a:off x="1895725" y="28575"/>
            <a:ext cx="10387915" cy="1181100"/>
            <a:chOff x="1895725" y="28575"/>
            <a:chExt cx="10387915" cy="1181100"/>
          </a:xfrm>
        </xdr:grpSpPr>
        <xdr:grpSp>
          <xdr:nvGrpSpPr>
            <xdr:cNvPr id="18" name="Agrupar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GrpSpPr/>
          </xdr:nvGrpSpPr>
          <xdr:grpSpPr>
            <a:xfrm>
              <a:off x="1895725" y="657225"/>
              <a:ext cx="10387915" cy="552450"/>
              <a:chOff x="1895725" y="657225"/>
              <a:chExt cx="10387915" cy="552450"/>
            </a:xfrm>
          </xdr:grpSpPr>
          <xdr:sp macro="[0]!Ir_Menu_ADM" textlink="">
            <xdr:nvSpPr>
              <xdr:cNvPr id="20" name="Paralelogramo 19">
                <a:extLst>
                  <a:ext uri="{FF2B5EF4-FFF2-40B4-BE49-F238E27FC236}">
                    <a16:creationId xmlns:a16="http://schemas.microsoft.com/office/drawing/2014/main" id="{00000000-0008-0000-0E00-000014000000}"/>
                  </a:ext>
                </a:extLst>
              </xdr:cNvPr>
              <xdr:cNvSpPr/>
            </xdr:nvSpPr>
            <xdr:spPr>
              <a:xfrm>
                <a:off x="1895725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HOME - ADM</a:t>
                </a:r>
              </a:p>
            </xdr:txBody>
          </xdr:sp>
          <xdr:sp macro="[0]!Ir_Menu_Relatórios" textlink="">
            <xdr:nvSpPr>
              <xdr:cNvPr id="21" name="Paralelogramo 20">
                <a:extLst>
                  <a:ext uri="{FF2B5EF4-FFF2-40B4-BE49-F238E27FC236}">
                    <a16:creationId xmlns:a16="http://schemas.microsoft.com/office/drawing/2014/main" id="{00000000-0008-0000-0E00-000015000000}"/>
                  </a:ext>
                </a:extLst>
              </xdr:cNvPr>
              <xdr:cNvSpPr/>
            </xdr:nvSpPr>
            <xdr:spPr>
              <a:xfrm>
                <a:off x="3590752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 baseline="0"/>
                  <a:t>RELATÓRIOS</a:t>
                </a:r>
                <a:endParaRPr lang="en-US" sz="1400" b="1"/>
              </a:p>
            </xdr:txBody>
          </xdr:sp>
          <xdr:sp macro="[0]!IR_Vender_para_Industria" textlink="">
            <xdr:nvSpPr>
              <xdr:cNvPr id="22" name="Paralelogramo 21">
                <a:extLst>
                  <a:ext uri="{FF2B5EF4-FFF2-40B4-BE49-F238E27FC236}">
                    <a16:creationId xmlns:a16="http://schemas.microsoft.com/office/drawing/2014/main" id="{00000000-0008-0000-0E00-000016000000}"/>
                  </a:ext>
                </a:extLst>
              </xdr:cNvPr>
              <xdr:cNvSpPr/>
            </xdr:nvSpPr>
            <xdr:spPr>
              <a:xfrm>
                <a:off x="5285779" y="657225"/>
                <a:ext cx="1832503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VENDER</a:t>
                </a:r>
              </a:p>
            </xdr:txBody>
          </xdr:sp>
          <xdr:sp macro="[0]!Ir_Menu_Associados" textlink="">
            <xdr:nvSpPr>
              <xdr:cNvPr id="23" name="Paralelogramo 22">
                <a:extLst>
                  <a:ext uri="{FF2B5EF4-FFF2-40B4-BE49-F238E27FC236}">
                    <a16:creationId xmlns:a16="http://schemas.microsoft.com/office/drawing/2014/main" id="{00000000-0008-0000-0E00-000017000000}"/>
                  </a:ext>
                </a:extLst>
              </xdr:cNvPr>
              <xdr:cNvSpPr/>
            </xdr:nvSpPr>
            <xdr:spPr>
              <a:xfrm>
                <a:off x="7060709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ASSOCIADOS</a:t>
                </a:r>
              </a:p>
            </xdr:txBody>
          </xdr:sp>
          <xdr:sp macro="[0]!Ir_Menu_PreçosEDITÁVEL" textlink="">
            <xdr:nvSpPr>
              <xdr:cNvPr id="24" name="Paralelogramo 23">
                <a:extLst>
                  <a:ext uri="{FF2B5EF4-FFF2-40B4-BE49-F238E27FC236}">
                    <a16:creationId xmlns:a16="http://schemas.microsoft.com/office/drawing/2014/main" id="{00000000-0008-0000-0E00-000018000000}"/>
                  </a:ext>
                </a:extLst>
              </xdr:cNvPr>
              <xdr:cNvSpPr/>
            </xdr:nvSpPr>
            <xdr:spPr>
              <a:xfrm>
                <a:off x="8755736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PREÇOS</a:t>
                </a:r>
              </a:p>
            </xdr:txBody>
          </xdr:sp>
          <xdr:sp macro="[0]!Ir_Menu_ADMINISTRADORES" textlink="">
            <xdr:nvSpPr>
              <xdr:cNvPr id="25" name="Paralelogramo 24">
                <a:extLst>
                  <a:ext uri="{FF2B5EF4-FFF2-40B4-BE49-F238E27FC236}">
                    <a16:creationId xmlns:a16="http://schemas.microsoft.com/office/drawing/2014/main" id="{00000000-0008-0000-0E00-000019000000}"/>
                  </a:ext>
                </a:extLst>
              </xdr:cNvPr>
              <xdr:cNvSpPr/>
            </xdr:nvSpPr>
            <xdr:spPr>
              <a:xfrm>
                <a:off x="10450764" y="657225"/>
                <a:ext cx="1832876" cy="552450"/>
              </a:xfrm>
              <a:prstGeom prst="parallelogram">
                <a:avLst/>
              </a:prstGeom>
              <a:solidFill>
                <a:srgbClr val="00206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EDITAR SENHAS</a:t>
                </a:r>
              </a:p>
            </xdr:txBody>
          </xdr:sp>
        </xdr:grpSp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 txBox="1"/>
          </xdr:nvSpPr>
          <xdr:spPr>
            <a:xfrm>
              <a:off x="5829300" y="28575"/>
              <a:ext cx="978195" cy="361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2400" b="1" cap="none" spc="0">
                  <a:ln w="22225">
                    <a:solidFill>
                      <a:schemeClr val="bg1"/>
                    </a:solidFill>
                    <a:prstDash val="solid"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ACARI</a:t>
              </a:r>
            </a:p>
          </xdr:txBody>
        </xdr:sp>
      </xdr:grpSp>
    </xdr:grpSp>
    <xdr:clientData/>
  </xdr:twoCellAnchor>
  <xdr:twoCellAnchor editAs="absolute">
    <xdr:from>
      <xdr:col>3</xdr:col>
      <xdr:colOff>9525</xdr:colOff>
      <xdr:row>22</xdr:row>
      <xdr:rowOff>57150</xdr:rowOff>
    </xdr:from>
    <xdr:to>
      <xdr:col>3</xdr:col>
      <xdr:colOff>1990725</xdr:colOff>
      <xdr:row>31</xdr:row>
      <xdr:rowOff>85725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GrpSpPr/>
      </xdr:nvGrpSpPr>
      <xdr:grpSpPr>
        <a:xfrm>
          <a:off x="5591175" y="4229100"/>
          <a:ext cx="1981200" cy="1628775"/>
          <a:chOff x="5429250" y="5438775"/>
          <a:chExt cx="1981200" cy="1628775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629276" y="5438775"/>
            <a:ext cx="1581149" cy="1581149"/>
          </a:xfrm>
          <a:prstGeom prst="rect">
            <a:avLst/>
          </a:prstGeom>
        </xdr:spPr>
      </xdr:pic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E00-000004000000}"/>
              </a:ext>
            </a:extLst>
          </xdr:cNvPr>
          <xdr:cNvSpPr txBox="1"/>
        </xdr:nvSpPr>
        <xdr:spPr>
          <a:xfrm>
            <a:off x="5429250" y="6819900"/>
            <a:ext cx="198120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0">
                <a:solidFill>
                  <a:srgbClr val="002060"/>
                </a:solidFill>
              </a:rPr>
              <a:t>Desenvolvido</a:t>
            </a:r>
            <a:r>
              <a:rPr lang="en-US" sz="1100" b="0" baseline="0">
                <a:solidFill>
                  <a:srgbClr val="002060"/>
                </a:solidFill>
              </a:rPr>
              <a:t> em Excel VBA</a:t>
            </a:r>
            <a:endParaRPr lang="en-US" sz="1100" b="0">
              <a:solidFill>
                <a:srgbClr val="002060"/>
              </a:solidFill>
            </a:endParaRPr>
          </a:p>
        </xdr:txBody>
      </xdr:sp>
    </xdr:grpSp>
    <xdr:clientData/>
  </xdr:twoCellAnchor>
  <xdr:twoCellAnchor editAs="absolute">
    <xdr:from>
      <xdr:col>10</xdr:col>
      <xdr:colOff>38100</xdr:colOff>
      <xdr:row>0</xdr:row>
      <xdr:rowOff>76200</xdr:rowOff>
    </xdr:from>
    <xdr:to>
      <xdr:col>10</xdr:col>
      <xdr:colOff>485775</xdr:colOff>
      <xdr:row>2</xdr:row>
      <xdr:rowOff>142875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GrpSpPr/>
      </xdr:nvGrpSpPr>
      <xdr:grpSpPr>
        <a:xfrm>
          <a:off x="12230100" y="76200"/>
          <a:ext cx="447675" cy="447675"/>
          <a:chOff x="276225" y="2543175"/>
          <a:chExt cx="1276350" cy="1276350"/>
        </a:xfrm>
      </xdr:grpSpPr>
      <xdr:sp macro="[0]!Ir_Menu_GERAL_LOGOUT" textlink="">
        <xdr:nvSpPr>
          <xdr:cNvPr id="29" name="Elipse 28">
            <a:extLst>
              <a:ext uri="{FF2B5EF4-FFF2-40B4-BE49-F238E27FC236}">
                <a16:creationId xmlns:a16="http://schemas.microsoft.com/office/drawing/2014/main" id="{00000000-0008-0000-0E00-00001D000000}"/>
              </a:ext>
            </a:extLst>
          </xdr:cNvPr>
          <xdr:cNvSpPr/>
        </xdr:nvSpPr>
        <xdr:spPr>
          <a:xfrm>
            <a:off x="276225" y="2543175"/>
            <a:ext cx="1276350" cy="1276350"/>
          </a:xfrm>
          <a:prstGeom prst="ellipse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Ir_Menu_GERAL_LOGOUT"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E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1500" y="2838450"/>
            <a:ext cx="685800" cy="6858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304800</xdr:colOff>
      <xdr:row>0</xdr:row>
      <xdr:rowOff>171450</xdr:rowOff>
    </xdr:from>
    <xdr:to>
      <xdr:col>10</xdr:col>
      <xdr:colOff>104775</xdr:colOff>
      <xdr:row>2</xdr:row>
      <xdr:rowOff>28575</xdr:rowOff>
    </xdr:to>
    <xdr:sp macro="[0]!Ir_Menu_GERAL_LOGOUT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/>
      </xdr:nvSpPr>
      <xdr:spPr>
        <a:xfrm>
          <a:off x="10972800" y="171450"/>
          <a:ext cx="13239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bg1"/>
              </a:solidFill>
            </a:rPr>
            <a:t>LOGOUT / SAIR</a:t>
          </a:r>
        </a:p>
      </xdr:txBody>
    </xdr:sp>
    <xdr:clientData/>
  </xdr:twoCellAnchor>
  <xdr:twoCellAnchor>
    <xdr:from>
      <xdr:col>0</xdr:col>
      <xdr:colOff>38100</xdr:colOff>
      <xdr:row>0</xdr:row>
      <xdr:rowOff>57149</xdr:rowOff>
    </xdr:from>
    <xdr:to>
      <xdr:col>0</xdr:col>
      <xdr:colOff>1533526</xdr:colOff>
      <xdr:row>2</xdr:row>
      <xdr:rowOff>123824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pSpPr/>
      </xdr:nvGrpSpPr>
      <xdr:grpSpPr>
        <a:xfrm>
          <a:off x="38100" y="57149"/>
          <a:ext cx="1495426" cy="447675"/>
          <a:chOff x="8067675" y="2257424"/>
          <a:chExt cx="1495426" cy="447675"/>
        </a:xfrm>
      </xdr:grpSpPr>
      <xdr:sp macro="[0]!Ir_BD_Planilha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 txBox="1"/>
        </xdr:nvSpPr>
        <xdr:spPr>
          <a:xfrm>
            <a:off x="8420101" y="2333625"/>
            <a:ext cx="1143000" cy="295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1"/>
              <a:t>Configurações</a:t>
            </a:r>
          </a:p>
        </xdr:txBody>
      </xdr:sp>
      <xdr:pic macro="[0]!Ir_BD_Planilha">
        <xdr:nvPicPr>
          <xdr:cNvPr id="5" name="Gráfico 4" descr="Engrenagem única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067675" y="2257424"/>
            <a:ext cx="447675" cy="447675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</xdr:row>
          <xdr:rowOff>180975</xdr:rowOff>
        </xdr:from>
        <xdr:to>
          <xdr:col>3</xdr:col>
          <xdr:colOff>428625</xdr:colOff>
          <xdr:row>3</xdr:row>
          <xdr:rowOff>19050</xdr:rowOff>
        </xdr:to>
        <xdr:sp macro="" textlink="">
          <xdr:nvSpPr>
            <xdr:cNvPr id="16385" name="Botão de opção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</xdr:row>
          <xdr:rowOff>180975</xdr:rowOff>
        </xdr:from>
        <xdr:to>
          <xdr:col>3</xdr:col>
          <xdr:colOff>952500</xdr:colOff>
          <xdr:row>3</xdr:row>
          <xdr:rowOff>19050</xdr:rowOff>
        </xdr:to>
        <xdr:sp macro="" textlink="">
          <xdr:nvSpPr>
            <xdr:cNvPr id="16387" name="Option 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266700</xdr:colOff>
      <xdr:row>0</xdr:row>
      <xdr:rowOff>0</xdr:rowOff>
    </xdr:from>
    <xdr:to>
      <xdr:col>18</xdr:col>
      <xdr:colOff>173128</xdr:colOff>
      <xdr:row>0</xdr:row>
      <xdr:rowOff>1543050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pSpPr/>
      </xdr:nvGrpSpPr>
      <xdr:grpSpPr>
        <a:xfrm>
          <a:off x="266700" y="0"/>
          <a:ext cx="12031753" cy="1543050"/>
          <a:chOff x="257175" y="28575"/>
          <a:chExt cx="12026465" cy="1543050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7175" y="523874"/>
            <a:ext cx="1094894" cy="1047751"/>
          </a:xfrm>
          <a:prstGeom prst="rect">
            <a:avLst/>
          </a:prstGeom>
        </xdr:spPr>
      </xdr:pic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GrpSpPr/>
        </xdr:nvGrpSpPr>
        <xdr:grpSpPr>
          <a:xfrm>
            <a:off x="1895725" y="28575"/>
            <a:ext cx="10387915" cy="1181100"/>
            <a:chOff x="1895725" y="28575"/>
            <a:chExt cx="10387915" cy="1181100"/>
          </a:xfrm>
        </xdr:grpSpPr>
        <xdr:grpSp>
          <xdr:nvGrpSpPr>
            <xdr:cNvPr id="8" name="Agrupar 7">
              <a:extLst>
                <a:ext uri="{FF2B5EF4-FFF2-40B4-BE49-F238E27FC236}">
                  <a16:creationId xmlns:a16="http://schemas.microsoft.com/office/drawing/2014/main" id="{00000000-0008-0000-1000-000008000000}"/>
                </a:ext>
              </a:extLst>
            </xdr:cNvPr>
            <xdr:cNvGrpSpPr/>
          </xdr:nvGrpSpPr>
          <xdr:grpSpPr>
            <a:xfrm>
              <a:off x="1895725" y="657225"/>
              <a:ext cx="10387915" cy="552450"/>
              <a:chOff x="1895725" y="657225"/>
              <a:chExt cx="10387915" cy="552450"/>
            </a:xfrm>
          </xdr:grpSpPr>
          <xdr:sp macro="[0]!Ir_Menu_ADM" textlink="">
            <xdr:nvSpPr>
              <xdr:cNvPr id="10" name="Paralelogramo 9">
                <a:extLst>
                  <a:ext uri="{FF2B5EF4-FFF2-40B4-BE49-F238E27FC236}">
                    <a16:creationId xmlns:a16="http://schemas.microsoft.com/office/drawing/2014/main" id="{00000000-0008-0000-1000-00000A000000}"/>
                  </a:ext>
                </a:extLst>
              </xdr:cNvPr>
              <xdr:cNvSpPr/>
            </xdr:nvSpPr>
            <xdr:spPr>
              <a:xfrm>
                <a:off x="1895725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HOME - ADM</a:t>
                </a:r>
              </a:p>
            </xdr:txBody>
          </xdr:sp>
          <xdr:sp macro="[0]!Ir_Menu_Relatórios" textlink="">
            <xdr:nvSpPr>
              <xdr:cNvPr id="11" name="Paralelogramo 10">
                <a:extLst>
                  <a:ext uri="{FF2B5EF4-FFF2-40B4-BE49-F238E27FC236}">
                    <a16:creationId xmlns:a16="http://schemas.microsoft.com/office/drawing/2014/main" id="{00000000-0008-0000-1000-00000B000000}"/>
                  </a:ext>
                </a:extLst>
              </xdr:cNvPr>
              <xdr:cNvSpPr/>
            </xdr:nvSpPr>
            <xdr:spPr>
              <a:xfrm>
                <a:off x="3590752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 baseline="0"/>
                  <a:t>RELATÓRIOS</a:t>
                </a:r>
                <a:endParaRPr lang="en-US" sz="1400" b="1"/>
              </a:p>
            </xdr:txBody>
          </xdr:sp>
          <xdr:sp macro="[0]!IR_Vender_para_Industria" textlink="">
            <xdr:nvSpPr>
              <xdr:cNvPr id="12" name="Paralelogramo 11">
                <a:extLst>
                  <a:ext uri="{FF2B5EF4-FFF2-40B4-BE49-F238E27FC236}">
                    <a16:creationId xmlns:a16="http://schemas.microsoft.com/office/drawing/2014/main" id="{00000000-0008-0000-1000-00000C000000}"/>
                  </a:ext>
                </a:extLst>
              </xdr:cNvPr>
              <xdr:cNvSpPr/>
            </xdr:nvSpPr>
            <xdr:spPr>
              <a:xfrm>
                <a:off x="5285779" y="657225"/>
                <a:ext cx="1832503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VENDER</a:t>
                </a:r>
              </a:p>
            </xdr:txBody>
          </xdr:sp>
          <xdr:sp macro="[0]!Ir_Menu_Associados" textlink="">
            <xdr:nvSpPr>
              <xdr:cNvPr id="13" name="Paralelogramo 12">
                <a:extLst>
                  <a:ext uri="{FF2B5EF4-FFF2-40B4-BE49-F238E27FC236}">
                    <a16:creationId xmlns:a16="http://schemas.microsoft.com/office/drawing/2014/main" id="{00000000-0008-0000-1000-00000D000000}"/>
                  </a:ext>
                </a:extLst>
              </xdr:cNvPr>
              <xdr:cNvSpPr/>
            </xdr:nvSpPr>
            <xdr:spPr>
              <a:xfrm>
                <a:off x="7060709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ASSOCIADOS</a:t>
                </a:r>
              </a:p>
            </xdr:txBody>
          </xdr:sp>
          <xdr:sp macro="[0]!Ir_Menu_PreçosEDITÁVEL" textlink="">
            <xdr:nvSpPr>
              <xdr:cNvPr id="14" name="Paralelogramo 13">
                <a:extLst>
                  <a:ext uri="{FF2B5EF4-FFF2-40B4-BE49-F238E27FC236}">
                    <a16:creationId xmlns:a16="http://schemas.microsoft.com/office/drawing/2014/main" id="{00000000-0008-0000-1000-00000E000000}"/>
                  </a:ext>
                </a:extLst>
              </xdr:cNvPr>
              <xdr:cNvSpPr/>
            </xdr:nvSpPr>
            <xdr:spPr>
              <a:xfrm>
                <a:off x="8755736" y="657225"/>
                <a:ext cx="1752600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PREÇOS</a:t>
                </a:r>
              </a:p>
            </xdr:txBody>
          </xdr:sp>
          <xdr:sp macro="[0]!Ir_Menu_ADMINISTRADORES" textlink="">
            <xdr:nvSpPr>
              <xdr:cNvPr id="15" name="Paralelogramo 14">
                <a:extLst>
                  <a:ext uri="{FF2B5EF4-FFF2-40B4-BE49-F238E27FC236}">
                    <a16:creationId xmlns:a16="http://schemas.microsoft.com/office/drawing/2014/main" id="{00000000-0008-0000-1000-00000F000000}"/>
                  </a:ext>
                </a:extLst>
              </xdr:cNvPr>
              <xdr:cNvSpPr/>
            </xdr:nvSpPr>
            <xdr:spPr>
              <a:xfrm>
                <a:off x="10450764" y="657225"/>
                <a:ext cx="1832876" cy="552450"/>
              </a:xfrm>
              <a:prstGeom prst="parallelogram">
                <a:avLst/>
              </a:prstGeom>
              <a:solidFill>
                <a:schemeClr val="bg1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US" sz="1400" b="1"/>
                  <a:t>EDITAR SENHAS</a:t>
                </a:r>
              </a:p>
            </xdr:txBody>
          </xdr:sp>
        </xdr:grpSp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1000-000009000000}"/>
                </a:ext>
              </a:extLst>
            </xdr:cNvPr>
            <xdr:cNvSpPr txBox="1"/>
          </xdr:nvSpPr>
          <xdr:spPr>
            <a:xfrm>
              <a:off x="5829300" y="28575"/>
              <a:ext cx="978195" cy="361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2400" b="1" cap="none" spc="0">
                  <a:ln w="22225">
                    <a:solidFill>
                      <a:schemeClr val="bg1"/>
                    </a:solidFill>
                    <a:prstDash val="solid"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rPr>
                <a:t>ACARI</a:t>
              </a: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Home"/>
  <dimension ref="A1:R43"/>
  <sheetViews>
    <sheetView showGridLines="0" showRowColHeaders="0" showZeros="0" tabSelected="1" zoomScaleNormal="100" workbookViewId="0"/>
  </sheetViews>
  <sheetFormatPr defaultColWidth="0" defaultRowHeight="15" zeroHeight="1" x14ac:dyDescent="0.25"/>
  <cols>
    <col min="1" max="1" width="9.140625" style="318" customWidth="1"/>
    <col min="2" max="2" width="20.42578125" style="318" customWidth="1"/>
    <col min="3" max="3" width="12.28515625" style="318" customWidth="1"/>
    <col min="4" max="4" width="18.42578125" style="318" customWidth="1"/>
    <col min="5" max="5" width="16.42578125" style="318" customWidth="1"/>
    <col min="6" max="6" width="4.7109375" style="318" customWidth="1"/>
    <col min="7" max="7" width="9.140625" style="318" customWidth="1"/>
    <col min="8" max="8" width="12.42578125" style="318" customWidth="1"/>
    <col min="9" max="9" width="9.140625" style="318" customWidth="1"/>
    <col min="10" max="10" width="26.28515625" style="318" customWidth="1"/>
    <col min="11" max="18" width="9.140625" style="318" customWidth="1"/>
    <col min="19" max="16384" width="9.140625" style="318" hidden="1"/>
  </cols>
  <sheetData>
    <row r="1" spans="1:18" s="313" customFormat="1" x14ac:dyDescent="0.25">
      <c r="A1" s="140" t="s">
        <v>142</v>
      </c>
    </row>
    <row r="2" spans="1:18" s="313" customFormat="1" x14ac:dyDescent="0.25"/>
    <row r="3" spans="1:18" s="313" customFormat="1" ht="15.75" x14ac:dyDescent="0.25">
      <c r="A3" s="328">
        <f ca="1">TODAY()</f>
        <v>43160</v>
      </c>
      <c r="B3" s="328"/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14"/>
      <c r="R3" s="314"/>
    </row>
    <row r="4" spans="1:18" s="315" customFormat="1" ht="6" customHeight="1" x14ac:dyDescent="0.25"/>
    <row r="5" spans="1:18" s="316" customFormat="1" x14ac:dyDescent="0.25"/>
    <row r="6" spans="1:18" s="316" customFormat="1" x14ac:dyDescent="0.25"/>
    <row r="7" spans="1:18" s="316" customFormat="1" x14ac:dyDescent="0.25"/>
    <row r="8" spans="1:18" s="317" customFormat="1" x14ac:dyDescent="0.25"/>
    <row r="9" spans="1:18" s="319" customFormat="1" x14ac:dyDescent="0.25">
      <c r="A9" s="318"/>
      <c r="B9" s="318"/>
      <c r="C9" s="318"/>
      <c r="D9" s="318"/>
      <c r="E9" s="318"/>
      <c r="F9" s="318"/>
      <c r="G9" s="318"/>
    </row>
    <row r="10" spans="1:18" s="319" customFormat="1" ht="15" customHeight="1" x14ac:dyDescent="0.25">
      <c r="A10" s="318"/>
      <c r="B10" s="318"/>
      <c r="C10" s="318"/>
      <c r="D10" s="318"/>
      <c r="E10" s="318"/>
      <c r="F10" s="318"/>
      <c r="G10" s="318"/>
    </row>
    <row r="11" spans="1:18" x14ac:dyDescent="0.25"/>
    <row r="12" spans="1:18" ht="15" customHeight="1" x14ac:dyDescent="0.25">
      <c r="C12" s="320"/>
      <c r="D12" s="320"/>
      <c r="E12" s="320"/>
      <c r="F12" s="320"/>
      <c r="G12" s="320"/>
      <c r="H12" s="320"/>
      <c r="I12" s="320"/>
      <c r="J12" s="320"/>
      <c r="K12" s="320"/>
      <c r="L12" s="320"/>
      <c r="M12" s="320"/>
    </row>
    <row r="13" spans="1:18" ht="15" customHeight="1" x14ac:dyDescent="0.25"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</row>
    <row r="14" spans="1:18" ht="15" customHeight="1" x14ac:dyDescent="0.25">
      <c r="C14" s="320"/>
      <c r="D14" s="320"/>
      <c r="E14" s="320"/>
      <c r="F14" s="320"/>
      <c r="G14" s="320"/>
      <c r="H14" s="320"/>
      <c r="I14" s="320"/>
      <c r="J14" s="320"/>
      <c r="K14" s="320"/>
      <c r="L14" s="320"/>
      <c r="M14" s="320"/>
    </row>
    <row r="15" spans="1:18" ht="15" customHeight="1" x14ac:dyDescent="0.25">
      <c r="C15" s="320"/>
      <c r="D15" s="320"/>
      <c r="E15" s="320"/>
      <c r="F15" s="320"/>
      <c r="G15" s="320"/>
      <c r="H15" s="320"/>
      <c r="I15" s="320"/>
      <c r="J15" s="320"/>
      <c r="K15" s="320"/>
      <c r="L15" s="320"/>
      <c r="M15" s="320"/>
    </row>
    <row r="16" spans="1:18" ht="15" customHeight="1" x14ac:dyDescent="0.25">
      <c r="C16" s="320"/>
      <c r="D16" s="320"/>
      <c r="E16" s="320"/>
      <c r="F16" s="320"/>
      <c r="G16" s="320"/>
      <c r="H16" s="320"/>
      <c r="I16" s="320"/>
      <c r="J16" s="320"/>
      <c r="K16" s="320"/>
      <c r="L16" s="320"/>
      <c r="M16" s="320"/>
    </row>
    <row r="17" spans="3:13" ht="15" customHeight="1" x14ac:dyDescent="0.25">
      <c r="C17" s="320"/>
      <c r="D17" s="320"/>
      <c r="E17" s="320"/>
      <c r="F17" s="320"/>
      <c r="G17" s="320"/>
      <c r="H17" s="320"/>
      <c r="I17" s="320"/>
      <c r="J17" s="320"/>
      <c r="K17" s="320"/>
      <c r="L17" s="320"/>
      <c r="M17" s="320"/>
    </row>
    <row r="18" spans="3:13" ht="15" customHeight="1" x14ac:dyDescent="0.25">
      <c r="C18" s="320"/>
      <c r="D18" s="320"/>
      <c r="E18" s="320"/>
      <c r="F18" s="320"/>
      <c r="G18" s="320"/>
      <c r="H18" s="320"/>
      <c r="I18" s="320"/>
      <c r="J18" s="320"/>
      <c r="K18" s="320"/>
      <c r="L18" s="320"/>
      <c r="M18" s="320"/>
    </row>
    <row r="19" spans="3:13" ht="26.25" x14ac:dyDescent="0.25">
      <c r="E19" s="321"/>
      <c r="F19" s="322"/>
      <c r="G19" s="322"/>
      <c r="H19" s="322"/>
      <c r="I19" s="322"/>
      <c r="J19" s="322"/>
    </row>
    <row r="20" spans="3:13" x14ac:dyDescent="0.25"/>
    <row r="21" spans="3:13" x14ac:dyDescent="0.25"/>
    <row r="22" spans="3:13" x14ac:dyDescent="0.25"/>
    <row r="23" spans="3:13" x14ac:dyDescent="0.25"/>
    <row r="24" spans="3:13" x14ac:dyDescent="0.25"/>
    <row r="25" spans="3:13" x14ac:dyDescent="0.25"/>
    <row r="26" spans="3:13" x14ac:dyDescent="0.25"/>
    <row r="27" spans="3:13" s="315" customFormat="1" ht="6" customHeight="1" x14ac:dyDescent="0.25"/>
    <row r="28" spans="3:13" s="313" customFormat="1" x14ac:dyDescent="0.25"/>
    <row r="29" spans="3:13" s="313" customFormat="1" x14ac:dyDescent="0.25"/>
    <row r="30" spans="3:13" s="313" customFormat="1" x14ac:dyDescent="0.25"/>
    <row r="31" spans="3:13" s="313" customFormat="1" x14ac:dyDescent="0.25"/>
    <row r="32" spans="3:13" s="313" customFormat="1" x14ac:dyDescent="0.25"/>
    <row r="33" s="313" customFormat="1" x14ac:dyDescent="0.25"/>
    <row r="34" s="313" customFormat="1" ht="33" customHeight="1" x14ac:dyDescent="0.25"/>
    <row r="35" s="313" customFormat="1" ht="25.5" customHeight="1" x14ac:dyDescent="0.25"/>
    <row r="36" s="313" customFormat="1" hidden="1" x14ac:dyDescent="0.25"/>
    <row r="37" s="313" customFormat="1" hidden="1" x14ac:dyDescent="0.25"/>
    <row r="38" s="313" customFormat="1" hidden="1" x14ac:dyDescent="0.25"/>
    <row r="39" s="313" customFormat="1" hidden="1" x14ac:dyDescent="0.25"/>
    <row r="40" s="313" customFormat="1" hidden="1" x14ac:dyDescent="0.25"/>
    <row r="41" s="313" customFormat="1" hidden="1" x14ac:dyDescent="0.25"/>
    <row r="42" s="313" customFormat="1" hidden="1" x14ac:dyDescent="0.25"/>
    <row r="43" s="313" customFormat="1" hidden="1" x14ac:dyDescent="0.25"/>
  </sheetData>
  <mergeCells count="1">
    <mergeCell ref="A3:P3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Vender">
    <pageSetUpPr autoPageBreaks="0"/>
  </sheetPr>
  <dimension ref="A1:XFC47"/>
  <sheetViews>
    <sheetView showGridLines="0" showRowColHeaders="0" showZeros="0" zoomScaleNormal="100" workbookViewId="0">
      <selection activeCell="D16" sqref="D16"/>
    </sheetView>
  </sheetViews>
  <sheetFormatPr defaultColWidth="0" defaultRowHeight="0" customHeight="1" zeroHeight="1" x14ac:dyDescent="0.25"/>
  <cols>
    <col min="1" max="1" width="9.140625" customWidth="1"/>
    <col min="2" max="2" width="38.5703125" customWidth="1"/>
    <col min="3" max="3" width="2.85546875" customWidth="1"/>
    <col min="4" max="4" width="32.140625" customWidth="1"/>
    <col min="5" max="5" width="2.85546875" customWidth="1"/>
    <col min="6" max="6" width="20.140625" customWidth="1"/>
    <col min="7" max="7" width="5.7109375" customWidth="1"/>
    <col min="8" max="8" width="2.85546875" customWidth="1"/>
    <col min="9" max="9" width="16.42578125" customWidth="1"/>
    <col min="10" max="10" width="3.85546875" customWidth="1"/>
    <col min="11" max="11" width="2.85546875" customWidth="1"/>
    <col min="12" max="12" width="27.140625" style="1" customWidth="1"/>
    <col min="13" max="13" width="8" style="79" customWidth="1"/>
    <col min="14" max="14" width="5.7109375" style="62" customWidth="1"/>
    <col min="15" max="15" width="12.42578125" style="1" customWidth="1"/>
    <col min="16" max="16" width="4.140625" customWidth="1"/>
    <col min="19" max="16383" width="9.140625" hidden="1"/>
    <col min="16384" max="16384" width="0.7109375" customWidth="1"/>
  </cols>
  <sheetData>
    <row r="1" spans="1:16" s="25" customFormat="1" ht="15" x14ac:dyDescent="0.25">
      <c r="L1" s="29"/>
      <c r="M1" s="75"/>
      <c r="N1" s="58"/>
      <c r="O1" s="29"/>
    </row>
    <row r="2" spans="1:16" s="25" customFormat="1" ht="15" x14ac:dyDescent="0.25">
      <c r="L2" s="29"/>
      <c r="M2" s="75"/>
      <c r="N2" s="58"/>
      <c r="O2" s="29"/>
    </row>
    <row r="3" spans="1:16" s="74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</row>
    <row r="4" spans="1:16" s="5" customFormat="1" ht="6" customHeight="1" x14ac:dyDescent="0.25">
      <c r="L4" s="30"/>
      <c r="M4" s="76"/>
      <c r="N4" s="59"/>
      <c r="O4" s="30"/>
    </row>
    <row r="5" spans="1:16" s="2" customFormat="1" ht="15" x14ac:dyDescent="0.25">
      <c r="L5" s="31"/>
      <c r="M5" s="77"/>
      <c r="N5" s="60"/>
      <c r="O5" s="31"/>
    </row>
    <row r="6" spans="1:16" s="2" customFormat="1" ht="15" x14ac:dyDescent="0.25">
      <c r="L6" s="31"/>
      <c r="M6" s="77"/>
      <c r="N6" s="60"/>
      <c r="O6" s="31"/>
    </row>
    <row r="7" spans="1:16" s="2" customFormat="1" ht="15" x14ac:dyDescent="0.25">
      <c r="L7" s="31"/>
      <c r="M7" s="77"/>
      <c r="N7" s="60"/>
      <c r="O7" s="31"/>
    </row>
    <row r="8" spans="1:16" s="3" customFormat="1" ht="15" x14ac:dyDescent="0.25">
      <c r="L8" s="32"/>
      <c r="M8" s="78"/>
      <c r="N8" s="61"/>
      <c r="O8" s="32"/>
    </row>
    <row r="9" spans="1:16" s="4" customFormat="1" ht="9" customHeight="1" thickBot="1" x14ac:dyDescent="0.3">
      <c r="K9" s="41"/>
      <c r="L9" s="33"/>
      <c r="M9" s="45"/>
      <c r="N9" s="47"/>
      <c r="O9" s="43"/>
    </row>
    <row r="10" spans="1:16" s="4" customFormat="1" ht="18" customHeight="1" thickBot="1" x14ac:dyDescent="0.3">
      <c r="A10" s="87">
        <v>12</v>
      </c>
      <c r="B10" s="219" t="s">
        <v>4</v>
      </c>
      <c r="C10"/>
      <c r="D10" s="220"/>
      <c r="F10" s="346" t="s">
        <v>32</v>
      </c>
      <c r="G10" s="347"/>
      <c r="I10" s="213" t="s">
        <v>29</v>
      </c>
      <c r="J10"/>
      <c r="K10" s="348" t="s">
        <v>62</v>
      </c>
      <c r="L10" s="348"/>
      <c r="M10" s="348"/>
      <c r="N10" s="348"/>
      <c r="O10" s="348"/>
    </row>
    <row r="11" spans="1:16" ht="37.5" customHeight="1" thickBot="1" x14ac:dyDescent="0.3">
      <c r="A11" s="4"/>
      <c r="B11" s="218"/>
      <c r="D11" s="217"/>
      <c r="E11" s="4"/>
      <c r="F11" s="215"/>
      <c r="G11" s="216" t="str">
        <f>IFERROR(VLOOKUP(D11,preços,3,FALSE),"-")</f>
        <v>-</v>
      </c>
      <c r="H11" s="4"/>
      <c r="I11" s="214" t="str">
        <f>IFERROR(F11*VLOOKUP(D11,item,2,FALSE),"-")</f>
        <v>-</v>
      </c>
      <c r="J11" s="4"/>
      <c r="K11" s="200" t="s">
        <v>56</v>
      </c>
      <c r="L11" s="349" t="str">
        <f>CONCATENATE(B10,":  ",B11)</f>
        <v xml:space="preserve">Associado:  </v>
      </c>
      <c r="M11" s="349"/>
      <c r="N11" s="350"/>
      <c r="O11" s="201">
        <f ca="1">A3</f>
        <v>43160</v>
      </c>
      <c r="P11" s="4"/>
    </row>
    <row r="12" spans="1:16" ht="15" customHeight="1" x14ac:dyDescent="0.25">
      <c r="A12" s="4"/>
      <c r="E12" s="4"/>
      <c r="H12" s="4"/>
      <c r="I12" s="4"/>
      <c r="J12" s="4"/>
      <c r="K12" s="202">
        <v>1</v>
      </c>
      <c r="L12" s="203"/>
      <c r="M12" s="203"/>
      <c r="N12" s="203"/>
      <c r="O12" s="204"/>
      <c r="P12" s="4"/>
    </row>
    <row r="13" spans="1:16" ht="15" customHeight="1" x14ac:dyDescent="0.25">
      <c r="K13" s="202">
        <v>2</v>
      </c>
      <c r="L13" s="205"/>
      <c r="M13" s="205"/>
      <c r="N13" s="205"/>
      <c r="O13" s="206"/>
    </row>
    <row r="14" spans="1:16" ht="15" customHeight="1" x14ac:dyDescent="0.25">
      <c r="K14" s="202">
        <v>3</v>
      </c>
      <c r="L14" s="207"/>
      <c r="M14" s="207"/>
      <c r="N14" s="207"/>
      <c r="O14" s="208"/>
    </row>
    <row r="15" spans="1:16" ht="15" customHeight="1" x14ac:dyDescent="0.25">
      <c r="K15" s="202">
        <v>4</v>
      </c>
      <c r="L15" s="207"/>
      <c r="M15" s="207"/>
      <c r="N15" s="207"/>
      <c r="O15" s="208"/>
    </row>
    <row r="16" spans="1:16" ht="15" customHeight="1" x14ac:dyDescent="0.25">
      <c r="K16" s="202">
        <v>5</v>
      </c>
      <c r="L16" s="207"/>
      <c r="M16" s="207"/>
      <c r="N16" s="207"/>
      <c r="O16" s="208"/>
    </row>
    <row r="17" spans="2:15" ht="15" customHeight="1" x14ac:dyDescent="0.25">
      <c r="B17" s="21"/>
      <c r="D17" s="22"/>
      <c r="F17" s="37"/>
      <c r="G17" s="23"/>
      <c r="K17" s="202">
        <v>6</v>
      </c>
      <c r="L17" s="207"/>
      <c r="M17" s="207"/>
      <c r="N17" s="207"/>
      <c r="O17" s="208"/>
    </row>
    <row r="18" spans="2:15" ht="15" customHeight="1" x14ac:dyDescent="0.25">
      <c r="B18" s="21"/>
      <c r="D18" s="22"/>
      <c r="F18" s="23"/>
      <c r="G18" s="23"/>
      <c r="K18" s="202">
        <v>7</v>
      </c>
      <c r="L18" s="207"/>
      <c r="M18" s="207"/>
      <c r="N18" s="207"/>
      <c r="O18" s="208"/>
    </row>
    <row r="19" spans="2:15" ht="15.75" thickBot="1" x14ac:dyDescent="0.3">
      <c r="K19" s="202">
        <v>8</v>
      </c>
      <c r="L19" s="207"/>
      <c r="M19" s="207"/>
      <c r="N19" s="207"/>
      <c r="O19" s="208"/>
    </row>
    <row r="20" spans="2:15" ht="15" customHeight="1" thickBot="1" x14ac:dyDescent="0.3">
      <c r="B20" s="334" t="s">
        <v>7</v>
      </c>
      <c r="C20" s="335"/>
      <c r="D20" s="335"/>
      <c r="E20" s="335"/>
      <c r="F20" s="335"/>
      <c r="G20" s="335"/>
      <c r="H20" s="335"/>
      <c r="I20" s="336"/>
      <c r="K20" s="202">
        <v>9</v>
      </c>
      <c r="L20" s="207"/>
      <c r="M20" s="207"/>
      <c r="N20" s="207"/>
      <c r="O20" s="208"/>
    </row>
    <row r="21" spans="2:15" ht="15" customHeight="1" x14ac:dyDescent="0.25">
      <c r="B21" s="337">
        <f>SUM(O12:O24)</f>
        <v>0</v>
      </c>
      <c r="C21" s="338"/>
      <c r="D21" s="338"/>
      <c r="E21" s="338"/>
      <c r="F21" s="338"/>
      <c r="G21" s="338"/>
      <c r="H21" s="338"/>
      <c r="I21" s="339"/>
      <c r="K21" s="202">
        <v>10</v>
      </c>
      <c r="L21" s="207"/>
      <c r="M21" s="207"/>
      <c r="N21" s="207"/>
      <c r="O21" s="208"/>
    </row>
    <row r="22" spans="2:15" ht="15" customHeight="1" x14ac:dyDescent="0.25">
      <c r="B22" s="340"/>
      <c r="C22" s="341"/>
      <c r="D22" s="341"/>
      <c r="E22" s="341"/>
      <c r="F22" s="341"/>
      <c r="G22" s="341"/>
      <c r="H22" s="341"/>
      <c r="I22" s="342"/>
      <c r="K22" s="202">
        <v>11</v>
      </c>
      <c r="L22" s="207"/>
      <c r="M22" s="207"/>
      <c r="N22" s="207"/>
      <c r="O22" s="208"/>
    </row>
    <row r="23" spans="2:15" ht="15" customHeight="1" x14ac:dyDescent="0.25">
      <c r="B23" s="340"/>
      <c r="C23" s="341"/>
      <c r="D23" s="341"/>
      <c r="E23" s="341"/>
      <c r="F23" s="341"/>
      <c r="G23" s="341"/>
      <c r="H23" s="341"/>
      <c r="I23" s="342"/>
      <c r="K23" s="202">
        <v>12</v>
      </c>
      <c r="L23" s="207"/>
      <c r="M23" s="207"/>
      <c r="N23" s="207"/>
      <c r="O23" s="208"/>
    </row>
    <row r="24" spans="2:15" ht="15" customHeight="1" x14ac:dyDescent="0.25">
      <c r="B24" s="340"/>
      <c r="C24" s="341"/>
      <c r="D24" s="341"/>
      <c r="E24" s="341"/>
      <c r="F24" s="341"/>
      <c r="G24" s="341"/>
      <c r="H24" s="341"/>
      <c r="I24" s="342"/>
      <c r="K24" s="202">
        <v>13</v>
      </c>
      <c r="L24" s="207"/>
      <c r="M24" s="209"/>
      <c r="N24" s="210"/>
      <c r="O24" s="211"/>
    </row>
    <row r="25" spans="2:15" ht="29.25" customHeight="1" thickBot="1" x14ac:dyDescent="0.3">
      <c r="B25" s="343"/>
      <c r="C25" s="344"/>
      <c r="D25" s="344"/>
      <c r="E25" s="344"/>
      <c r="F25" s="344"/>
      <c r="G25" s="344"/>
      <c r="H25" s="344"/>
      <c r="I25" s="345"/>
      <c r="K25" s="329" t="s">
        <v>33</v>
      </c>
      <c r="L25" s="330"/>
      <c r="M25" s="331" t="s">
        <v>31</v>
      </c>
      <c r="N25" s="332"/>
      <c r="O25" s="212">
        <f>SUM(O12:O24)</f>
        <v>0</v>
      </c>
    </row>
    <row r="26" spans="2:15" ht="9" customHeight="1" x14ac:dyDescent="0.25">
      <c r="B26" s="20"/>
      <c r="K26" s="42"/>
      <c r="M26" s="46"/>
      <c r="N26" s="48"/>
      <c r="O26" s="44"/>
    </row>
    <row r="27" spans="2:15" s="5" customFormat="1" ht="6" customHeight="1" x14ac:dyDescent="0.25">
      <c r="L27" s="30"/>
      <c r="M27" s="76"/>
      <c r="N27" s="59"/>
      <c r="O27" s="30"/>
    </row>
    <row r="28" spans="2:15" s="25" customFormat="1" ht="15" x14ac:dyDescent="0.25">
      <c r="L28" s="29"/>
      <c r="M28" s="75"/>
      <c r="N28" s="58"/>
      <c r="O28" s="29"/>
    </row>
    <row r="29" spans="2:15" s="25" customFormat="1" ht="15" x14ac:dyDescent="0.25">
      <c r="L29" s="29"/>
      <c r="M29" s="75"/>
      <c r="N29" s="58"/>
      <c r="O29" s="29"/>
    </row>
    <row r="30" spans="2:15" s="25" customFormat="1" ht="15" x14ac:dyDescent="0.25">
      <c r="L30" s="29"/>
      <c r="M30" s="75"/>
      <c r="N30" s="58"/>
      <c r="O30" s="29"/>
    </row>
    <row r="31" spans="2:15" s="25" customFormat="1" ht="15" x14ac:dyDescent="0.25">
      <c r="L31" s="29"/>
      <c r="M31" s="75"/>
      <c r="N31" s="58"/>
      <c r="O31" s="29"/>
    </row>
    <row r="32" spans="2:15" s="25" customFormat="1" ht="15" x14ac:dyDescent="0.25">
      <c r="L32" s="29"/>
      <c r="M32" s="75"/>
      <c r="N32" s="58"/>
      <c r="O32" s="29"/>
    </row>
    <row r="33" spans="12:15" s="25" customFormat="1" ht="15" x14ac:dyDescent="0.25">
      <c r="L33" s="29"/>
      <c r="M33" s="75"/>
      <c r="N33" s="58"/>
      <c r="O33" s="29"/>
    </row>
    <row r="34" spans="12:15" s="25" customFormat="1" ht="15" x14ac:dyDescent="0.25">
      <c r="L34" s="29"/>
      <c r="M34" s="75"/>
      <c r="N34" s="58"/>
      <c r="O34" s="29"/>
    </row>
    <row r="35" spans="12:15" s="25" customFormat="1" ht="15" x14ac:dyDescent="0.25">
      <c r="L35" s="29"/>
      <c r="M35" s="75"/>
      <c r="N35" s="58"/>
      <c r="O35" s="29"/>
    </row>
    <row r="36" spans="12:15" s="25" customFormat="1" ht="15" hidden="1" x14ac:dyDescent="0.25">
      <c r="L36" s="29"/>
      <c r="M36" s="75"/>
      <c r="N36" s="58"/>
      <c r="O36" s="29"/>
    </row>
    <row r="37" spans="12:15" s="25" customFormat="1" ht="15" hidden="1" x14ac:dyDescent="0.25">
      <c r="L37" s="29"/>
      <c r="M37" s="75"/>
      <c r="N37" s="58"/>
      <c r="O37" s="29"/>
    </row>
    <row r="38" spans="12:15" s="25" customFormat="1" ht="15" hidden="1" x14ac:dyDescent="0.25">
      <c r="L38" s="29"/>
      <c r="M38" s="75"/>
      <c r="N38" s="58"/>
      <c r="O38" s="29"/>
    </row>
    <row r="39" spans="12:15" s="25" customFormat="1" ht="15" hidden="1" x14ac:dyDescent="0.25">
      <c r="L39" s="29"/>
      <c r="M39" s="75"/>
      <c r="N39" s="58"/>
      <c r="O39" s="29"/>
    </row>
    <row r="40" spans="12:15" s="25" customFormat="1" ht="15" hidden="1" x14ac:dyDescent="0.25">
      <c r="L40" s="29"/>
      <c r="M40" s="75"/>
      <c r="N40" s="58"/>
      <c r="O40" s="29"/>
    </row>
    <row r="41" spans="12:15" s="25" customFormat="1" ht="15" hidden="1" x14ac:dyDescent="0.25">
      <c r="L41" s="29"/>
      <c r="M41" s="75"/>
      <c r="N41" s="58"/>
      <c r="O41" s="29"/>
    </row>
    <row r="42" spans="12:15" s="25" customFormat="1" ht="15" hidden="1" x14ac:dyDescent="0.25">
      <c r="L42" s="29"/>
      <c r="M42" s="75"/>
      <c r="N42" s="58"/>
      <c r="O42" s="29"/>
    </row>
    <row r="43" spans="12:15" s="25" customFormat="1" ht="15" hidden="1" x14ac:dyDescent="0.25">
      <c r="L43" s="29"/>
      <c r="M43" s="75"/>
      <c r="N43" s="58"/>
      <c r="O43" s="29"/>
    </row>
    <row r="44" spans="12:15" s="25" customFormat="1" ht="15" hidden="1" x14ac:dyDescent="0.25">
      <c r="L44" s="29"/>
      <c r="M44" s="75"/>
      <c r="N44" s="58"/>
      <c r="O44" s="29"/>
    </row>
    <row r="45" spans="12:15" s="25" customFormat="1" ht="15" hidden="1" x14ac:dyDescent="0.25">
      <c r="L45" s="29"/>
      <c r="M45" s="75"/>
      <c r="N45" s="58"/>
      <c r="O45" s="29"/>
    </row>
    <row r="46" spans="12:15" s="25" customFormat="1" ht="15" hidden="1" x14ac:dyDescent="0.25">
      <c r="L46" s="29"/>
      <c r="M46" s="75"/>
      <c r="N46" s="58"/>
      <c r="O46" s="29"/>
    </row>
    <row r="47" spans="12:15" ht="15" hidden="1" customHeight="1" x14ac:dyDescent="0.25"/>
  </sheetData>
  <mergeCells count="8">
    <mergeCell ref="K25:L25"/>
    <mergeCell ref="M25:N25"/>
    <mergeCell ref="A3:P3"/>
    <mergeCell ref="B20:I20"/>
    <mergeCell ref="B21:I25"/>
    <mergeCell ref="F10:G10"/>
    <mergeCell ref="K10:O10"/>
    <mergeCell ref="L11:N11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PreçosView"/>
  <dimension ref="A1:R71"/>
  <sheetViews>
    <sheetView showGridLines="0" showRowColHeaders="0" showZeros="0" zoomScaleNormal="100" workbookViewId="0"/>
  </sheetViews>
  <sheetFormatPr defaultColWidth="0" defaultRowHeight="15" customHeight="1" zeroHeight="1" x14ac:dyDescent="0.25"/>
  <cols>
    <col min="1" max="1" width="9.140625" customWidth="1"/>
    <col min="2" max="2" width="8.5703125" customWidth="1"/>
    <col min="3" max="3" width="26" bestFit="1" customWidth="1"/>
    <col min="4" max="4" width="13.140625" customWidth="1"/>
    <col min="5" max="5" width="7.7109375" customWidth="1"/>
    <col min="6" max="6" width="4.7109375" customWidth="1"/>
    <col min="7" max="7" width="9.140625" customWidth="1"/>
    <col min="8" max="8" width="12.42578125" customWidth="1"/>
    <col min="9" max="9" width="9.140625" customWidth="1"/>
    <col min="10" max="10" width="26.28515625" customWidth="1"/>
    <col min="11" max="18" width="9.140625" customWidth="1"/>
    <col min="19" max="16384" width="9.140625" hidden="1"/>
  </cols>
  <sheetData>
    <row r="1" spans="1:18" s="25" customFormat="1" x14ac:dyDescent="0.25"/>
    <row r="2" spans="1:18" s="25" customFormat="1" x14ac:dyDescent="0.25"/>
    <row r="3" spans="1:18" s="25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26"/>
      <c r="R3" s="26"/>
    </row>
    <row r="4" spans="1:18" s="5" customFormat="1" ht="6" customHeight="1" x14ac:dyDescent="0.25"/>
    <row r="5" spans="1:18" s="2" customFormat="1" x14ac:dyDescent="0.25"/>
    <row r="6" spans="1:18" s="2" customFormat="1" x14ac:dyDescent="0.25"/>
    <row r="7" spans="1:18" s="2" customFormat="1" x14ac:dyDescent="0.25"/>
    <row r="8" spans="1:18" s="3" customFormat="1" x14ac:dyDescent="0.25"/>
    <row r="9" spans="1:18" s="4" customFormat="1" x14ac:dyDescent="0.25">
      <c r="A9"/>
      <c r="B9"/>
      <c r="C9"/>
      <c r="D9"/>
      <c r="E9"/>
      <c r="F9"/>
      <c r="G9"/>
    </row>
    <row r="10" spans="1:18" s="4" customFormat="1" ht="15" customHeight="1" x14ac:dyDescent="0.25">
      <c r="A10"/>
      <c r="B10" s="324" t="s">
        <v>1</v>
      </c>
      <c r="C10" s="325" t="s">
        <v>6</v>
      </c>
      <c r="D10" s="351" t="s">
        <v>115</v>
      </c>
      <c r="E10" s="352"/>
      <c r="F10"/>
      <c r="G10"/>
    </row>
    <row r="11" spans="1:18" s="4" customFormat="1" ht="15" customHeight="1" x14ac:dyDescent="0.25">
      <c r="A11"/>
      <c r="B11" s="17">
        <v>1</v>
      </c>
      <c r="C11" s="18" t="s">
        <v>14</v>
      </c>
      <c r="D11" s="38">
        <v>0.3</v>
      </c>
      <c r="E11" s="18" t="s">
        <v>28</v>
      </c>
      <c r="F11"/>
      <c r="G11"/>
    </row>
    <row r="12" spans="1:18" s="4" customFormat="1" ht="15" customHeight="1" x14ac:dyDescent="0.25">
      <c r="A12"/>
      <c r="B12" s="11">
        <v>2</v>
      </c>
      <c r="C12" s="6" t="s">
        <v>15</v>
      </c>
      <c r="D12" s="39">
        <v>0.2</v>
      </c>
      <c r="E12" s="6" t="s">
        <v>28</v>
      </c>
      <c r="F12"/>
      <c r="G12"/>
    </row>
    <row r="13" spans="1:18" s="4" customFormat="1" ht="15" customHeight="1" x14ac:dyDescent="0.25">
      <c r="A13"/>
      <c r="B13" s="11">
        <v>3</v>
      </c>
      <c r="C13" s="6" t="s">
        <v>16</v>
      </c>
      <c r="D13" s="39">
        <v>0.15</v>
      </c>
      <c r="E13" s="6" t="s">
        <v>28</v>
      </c>
      <c r="F13"/>
      <c r="G13"/>
    </row>
    <row r="14" spans="1:18" s="4" customFormat="1" ht="15" customHeight="1" x14ac:dyDescent="0.25">
      <c r="A14"/>
      <c r="B14" s="11">
        <v>4</v>
      </c>
      <c r="C14" s="6" t="s">
        <v>17</v>
      </c>
      <c r="D14" s="39">
        <v>0.15</v>
      </c>
      <c r="E14" s="6" t="s">
        <v>28</v>
      </c>
      <c r="F14"/>
      <c r="G14"/>
    </row>
    <row r="15" spans="1:18" s="4" customFormat="1" ht="15" customHeight="1" x14ac:dyDescent="0.25">
      <c r="A15"/>
      <c r="B15" s="11">
        <v>5</v>
      </c>
      <c r="C15" s="6" t="s">
        <v>18</v>
      </c>
      <c r="D15" s="39">
        <v>0.15</v>
      </c>
      <c r="E15" s="6" t="s">
        <v>28</v>
      </c>
      <c r="F15"/>
      <c r="G15"/>
    </row>
    <row r="16" spans="1:18" s="4" customFormat="1" ht="15" customHeight="1" x14ac:dyDescent="0.25">
      <c r="A16"/>
      <c r="B16" s="11">
        <v>6</v>
      </c>
      <c r="C16" s="6" t="s">
        <v>19</v>
      </c>
      <c r="D16" s="39">
        <v>3.3</v>
      </c>
      <c r="E16" s="6" t="s">
        <v>28</v>
      </c>
      <c r="F16"/>
      <c r="G16"/>
    </row>
    <row r="17" spans="1:7" s="4" customFormat="1" ht="15" customHeight="1" x14ac:dyDescent="0.25">
      <c r="A17"/>
      <c r="B17" s="11">
        <v>7</v>
      </c>
      <c r="C17" s="6" t="s">
        <v>20</v>
      </c>
      <c r="D17" s="39">
        <v>5.5</v>
      </c>
      <c r="E17" s="6" t="s">
        <v>28</v>
      </c>
      <c r="F17"/>
      <c r="G17"/>
    </row>
    <row r="18" spans="1:7" s="4" customFormat="1" ht="15" customHeight="1" x14ac:dyDescent="0.25">
      <c r="A18"/>
      <c r="B18" s="11">
        <v>8</v>
      </c>
      <c r="C18" s="6" t="s">
        <v>21</v>
      </c>
      <c r="D18" s="39">
        <v>1.6</v>
      </c>
      <c r="E18" s="6" t="s">
        <v>28</v>
      </c>
      <c r="F18"/>
      <c r="G18"/>
    </row>
    <row r="19" spans="1:7" s="4" customFormat="1" ht="15" customHeight="1" x14ac:dyDescent="0.25">
      <c r="A19"/>
      <c r="B19" s="11">
        <v>9</v>
      </c>
      <c r="C19" s="6" t="s">
        <v>22</v>
      </c>
      <c r="D19" s="39">
        <v>3.3</v>
      </c>
      <c r="E19" s="6" t="s">
        <v>28</v>
      </c>
      <c r="F19"/>
      <c r="G19"/>
    </row>
    <row r="20" spans="1:7" s="4" customFormat="1" ht="15" customHeight="1" x14ac:dyDescent="0.25">
      <c r="A20"/>
      <c r="B20" s="11">
        <v>10</v>
      </c>
      <c r="C20" s="6" t="s">
        <v>23</v>
      </c>
      <c r="D20" s="39">
        <v>5.5</v>
      </c>
      <c r="E20" s="6" t="s">
        <v>28</v>
      </c>
      <c r="F20"/>
      <c r="G20"/>
    </row>
    <row r="21" spans="1:7" s="4" customFormat="1" ht="15" customHeight="1" x14ac:dyDescent="0.25">
      <c r="A21"/>
      <c r="B21" s="11">
        <v>11</v>
      </c>
      <c r="C21" s="6" t="s">
        <v>34</v>
      </c>
      <c r="D21" s="39">
        <v>0.3</v>
      </c>
      <c r="E21" s="6" t="s">
        <v>28</v>
      </c>
      <c r="F21"/>
      <c r="G21"/>
    </row>
    <row r="22" spans="1:7" s="4" customFormat="1" ht="15" customHeight="1" x14ac:dyDescent="0.25">
      <c r="A22"/>
      <c r="B22" s="11">
        <v>12</v>
      </c>
      <c r="C22" s="6" t="s">
        <v>35</v>
      </c>
      <c r="D22" s="39">
        <v>5.5</v>
      </c>
      <c r="E22" s="6" t="s">
        <v>28</v>
      </c>
      <c r="F22"/>
      <c r="G22"/>
    </row>
    <row r="23" spans="1:7" s="4" customFormat="1" ht="15" customHeight="1" x14ac:dyDescent="0.25">
      <c r="A23"/>
      <c r="B23" s="11">
        <v>13</v>
      </c>
      <c r="C23" s="6" t="s">
        <v>36</v>
      </c>
      <c r="D23" s="39">
        <v>1.8</v>
      </c>
      <c r="E23" s="6" t="s">
        <v>28</v>
      </c>
      <c r="F23"/>
      <c r="G23"/>
    </row>
    <row r="24" spans="1:7" s="4" customFormat="1" ht="15" customHeight="1" x14ac:dyDescent="0.25">
      <c r="A24"/>
      <c r="B24" s="11">
        <v>14</v>
      </c>
      <c r="C24" s="6" t="s">
        <v>37</v>
      </c>
      <c r="D24" s="39">
        <v>1</v>
      </c>
      <c r="E24" s="6" t="s">
        <v>28</v>
      </c>
      <c r="F24"/>
      <c r="G24"/>
    </row>
    <row r="25" spans="1:7" s="4" customFormat="1" ht="15" customHeight="1" x14ac:dyDescent="0.25">
      <c r="A25"/>
      <c r="B25" s="11">
        <v>15</v>
      </c>
      <c r="C25" s="6" t="s">
        <v>38</v>
      </c>
      <c r="D25" s="39">
        <v>0.8</v>
      </c>
      <c r="E25" s="6" t="s">
        <v>28</v>
      </c>
      <c r="F25"/>
      <c r="G25"/>
    </row>
    <row r="26" spans="1:7" s="4" customFormat="1" ht="15" customHeight="1" x14ac:dyDescent="0.25">
      <c r="A26"/>
      <c r="B26" s="11">
        <v>16</v>
      </c>
      <c r="C26" s="6" t="s">
        <v>39</v>
      </c>
      <c r="D26" s="39">
        <v>0.4</v>
      </c>
      <c r="E26" s="6" t="s">
        <v>28</v>
      </c>
      <c r="F26"/>
      <c r="G26"/>
    </row>
    <row r="27" spans="1:7" s="4" customFormat="1" ht="15" customHeight="1" x14ac:dyDescent="0.25">
      <c r="A27"/>
      <c r="B27" s="11">
        <v>17</v>
      </c>
      <c r="C27" s="6" t="s">
        <v>40</v>
      </c>
      <c r="D27" s="39">
        <v>0.8</v>
      </c>
      <c r="E27" s="6" t="s">
        <v>28</v>
      </c>
      <c r="F27"/>
      <c r="G27"/>
    </row>
    <row r="28" spans="1:7" s="4" customFormat="1" ht="15" customHeight="1" x14ac:dyDescent="0.25">
      <c r="A28"/>
      <c r="B28" s="11">
        <v>18</v>
      </c>
      <c r="C28" s="6" t="s">
        <v>41</v>
      </c>
      <c r="D28" s="39">
        <v>0.45</v>
      </c>
      <c r="E28" s="6" t="s">
        <v>28</v>
      </c>
      <c r="F28"/>
      <c r="G28"/>
    </row>
    <row r="29" spans="1:7" s="4" customFormat="1" ht="15" customHeight="1" x14ac:dyDescent="0.25">
      <c r="A29"/>
      <c r="B29" s="11">
        <v>19</v>
      </c>
      <c r="C29" s="6" t="s">
        <v>42</v>
      </c>
      <c r="D29" s="39">
        <v>0.7</v>
      </c>
      <c r="E29" s="6" t="s">
        <v>28</v>
      </c>
      <c r="F29"/>
      <c r="G29"/>
    </row>
    <row r="30" spans="1:7" s="4" customFormat="1" ht="15" customHeight="1" x14ac:dyDescent="0.25">
      <c r="A30"/>
      <c r="B30" s="11">
        <v>20</v>
      </c>
      <c r="C30" s="6" t="s">
        <v>43</v>
      </c>
      <c r="D30" s="39">
        <v>0.2</v>
      </c>
      <c r="E30" s="6" t="s">
        <v>28</v>
      </c>
      <c r="F30"/>
      <c r="G30"/>
    </row>
    <row r="31" spans="1:7" s="4" customFormat="1" ht="15" customHeight="1" x14ac:dyDescent="0.25">
      <c r="A31"/>
      <c r="B31" s="11">
        <v>21</v>
      </c>
      <c r="C31" s="6" t="s">
        <v>44</v>
      </c>
      <c r="D31" s="39">
        <v>0.2</v>
      </c>
      <c r="E31" s="6" t="s">
        <v>28</v>
      </c>
      <c r="F31"/>
      <c r="G31"/>
    </row>
    <row r="32" spans="1:7" s="4" customFormat="1" ht="15" customHeight="1" x14ac:dyDescent="0.25">
      <c r="A32"/>
      <c r="B32" s="11">
        <v>22</v>
      </c>
      <c r="C32" s="6" t="s">
        <v>45</v>
      </c>
      <c r="D32" s="39">
        <v>0.05</v>
      </c>
      <c r="E32" s="6" t="s">
        <v>28</v>
      </c>
      <c r="F32"/>
      <c r="G32"/>
    </row>
    <row r="33" spans="1:13" s="4" customFormat="1" ht="15" customHeight="1" x14ac:dyDescent="0.25">
      <c r="A33"/>
      <c r="B33" s="11">
        <v>23</v>
      </c>
      <c r="C33" s="6" t="s">
        <v>46</v>
      </c>
      <c r="D33" s="39">
        <v>0.2</v>
      </c>
      <c r="E33" s="6" t="s">
        <v>28</v>
      </c>
      <c r="F33"/>
      <c r="G33"/>
    </row>
    <row r="34" spans="1:13" s="4" customFormat="1" ht="15" customHeight="1" x14ac:dyDescent="0.25">
      <c r="A34"/>
      <c r="B34" s="11">
        <v>24</v>
      </c>
      <c r="C34" s="6" t="s">
        <v>47</v>
      </c>
      <c r="D34" s="39">
        <v>0.6</v>
      </c>
      <c r="E34" s="6" t="s">
        <v>28</v>
      </c>
      <c r="F34"/>
      <c r="G34"/>
    </row>
    <row r="35" spans="1:13" s="4" customFormat="1" ht="15" customHeight="1" x14ac:dyDescent="0.25">
      <c r="A35"/>
      <c r="B35" s="11">
        <v>25</v>
      </c>
      <c r="C35" s="6" t="s">
        <v>48</v>
      </c>
      <c r="D35" s="39">
        <v>10</v>
      </c>
      <c r="E35" s="6" t="s">
        <v>28</v>
      </c>
      <c r="F35"/>
      <c r="G35"/>
    </row>
    <row r="36" spans="1:13" s="4" customFormat="1" ht="15" customHeight="1" x14ac:dyDescent="0.25">
      <c r="A36"/>
      <c r="B36" s="11">
        <v>26</v>
      </c>
      <c r="C36" s="6" t="s">
        <v>49</v>
      </c>
      <c r="D36" s="39">
        <v>0.4</v>
      </c>
      <c r="E36" s="6" t="s">
        <v>28</v>
      </c>
      <c r="F36"/>
      <c r="G36"/>
    </row>
    <row r="37" spans="1:13" s="4" customFormat="1" ht="15" customHeight="1" x14ac:dyDescent="0.25">
      <c r="A37"/>
      <c r="B37" s="11">
        <v>27</v>
      </c>
      <c r="C37" s="6" t="s">
        <v>50</v>
      </c>
      <c r="D37" s="39">
        <v>1</v>
      </c>
      <c r="E37" s="6" t="s">
        <v>28</v>
      </c>
      <c r="F37"/>
      <c r="G37"/>
    </row>
    <row r="38" spans="1:13" x14ac:dyDescent="0.25">
      <c r="B38" s="11">
        <v>28</v>
      </c>
      <c r="C38" s="6" t="s">
        <v>51</v>
      </c>
      <c r="D38" s="52">
        <v>1.2</v>
      </c>
      <c r="E38" s="53" t="s">
        <v>28</v>
      </c>
    </row>
    <row r="39" spans="1:13" ht="15" customHeight="1" x14ac:dyDescent="0.25">
      <c r="B39" s="12"/>
      <c r="C39" s="51"/>
      <c r="D39" s="39"/>
      <c r="E39" s="10"/>
      <c r="F39" s="24"/>
      <c r="G39" s="24"/>
      <c r="H39" s="24"/>
      <c r="I39" s="24"/>
      <c r="J39" s="24"/>
      <c r="K39" s="24"/>
      <c r="L39" s="24"/>
      <c r="M39" s="24"/>
    </row>
    <row r="40" spans="1:13" ht="15" customHeight="1" x14ac:dyDescent="0.25">
      <c r="B40" s="323"/>
      <c r="C40" s="192" t="s">
        <v>5</v>
      </c>
      <c r="D40" s="353" t="s">
        <v>116</v>
      </c>
      <c r="E40" s="354"/>
      <c r="K40" s="24"/>
      <c r="L40" s="24"/>
      <c r="M40" s="24"/>
    </row>
    <row r="41" spans="1:13" ht="15" customHeight="1" x14ac:dyDescent="0.25">
      <c r="B41" s="13"/>
      <c r="C41" s="50"/>
      <c r="D41" s="40"/>
      <c r="E41" s="10"/>
      <c r="K41" s="24"/>
      <c r="L41" s="24"/>
      <c r="M41" s="24"/>
    </row>
    <row r="42" spans="1:13" ht="15" customHeight="1" x14ac:dyDescent="0.25">
      <c r="B42" s="6">
        <v>29</v>
      </c>
      <c r="C42" s="10" t="s">
        <v>52</v>
      </c>
      <c r="D42" s="38">
        <v>0.15</v>
      </c>
      <c r="E42" s="18" t="s">
        <v>30</v>
      </c>
      <c r="K42" s="24"/>
      <c r="L42" s="24"/>
      <c r="M42" s="24"/>
    </row>
    <row r="43" spans="1:13" ht="15" customHeight="1" x14ac:dyDescent="0.25">
      <c r="K43" s="24"/>
      <c r="L43" s="24"/>
      <c r="M43" s="24"/>
    </row>
    <row r="44" spans="1:13" ht="15" customHeight="1" x14ac:dyDescent="0.25">
      <c r="K44" s="24"/>
      <c r="L44" s="24"/>
      <c r="M44" s="24"/>
    </row>
    <row r="45" spans="1:13" x14ac:dyDescent="0.25"/>
    <row r="46" spans="1:13" x14ac:dyDescent="0.25"/>
    <row r="47" spans="1:13" s="5" customFormat="1" ht="6" customHeight="1" x14ac:dyDescent="0.25"/>
    <row r="48" spans="1:13" s="25" customFormat="1" x14ac:dyDescent="0.25"/>
    <row r="49" s="25" customFormat="1" x14ac:dyDescent="0.25"/>
    <row r="50" s="25" customFormat="1" x14ac:dyDescent="0.25"/>
    <row r="51" s="25" customFormat="1" x14ac:dyDescent="0.25"/>
    <row r="52" s="25" customFormat="1" x14ac:dyDescent="0.25"/>
    <row r="53" s="25" customFormat="1" x14ac:dyDescent="0.25"/>
    <row r="54" s="25" customFormat="1" x14ac:dyDescent="0.25"/>
    <row r="55" s="25" customFormat="1" x14ac:dyDescent="0.25"/>
    <row r="56" s="25" customFormat="1" ht="15" hidden="1" customHeight="1" x14ac:dyDescent="0.25"/>
    <row r="57" s="25" customFormat="1" ht="15" hidden="1" customHeight="1" x14ac:dyDescent="0.25"/>
    <row r="58" s="25" customFormat="1" ht="15" hidden="1" customHeight="1" x14ac:dyDescent="0.25"/>
    <row r="59" s="25" customFormat="1" ht="15" hidden="1" customHeight="1" x14ac:dyDescent="0.25"/>
    <row r="60" s="25" customFormat="1" ht="15" hidden="1" customHeight="1" x14ac:dyDescent="0.25"/>
    <row r="61" s="25" customFormat="1" ht="18.75" hidden="1" customHeight="1" x14ac:dyDescent="0.25"/>
    <row r="62" s="25" customFormat="1" ht="15" hidden="1" customHeight="1" x14ac:dyDescent="0.25"/>
    <row r="63" s="25" customFormat="1" ht="15" hidden="1" customHeight="1" x14ac:dyDescent="0.25"/>
    <row r="64" ht="15" hidden="1" customHeight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  <row r="71" ht="15" hidden="1" customHeight="1" x14ac:dyDescent="0.25"/>
  </sheetData>
  <mergeCells count="3">
    <mergeCell ref="A3:P3"/>
    <mergeCell ref="D10:E10"/>
    <mergeCell ref="D40:E40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HomeADM"/>
  <dimension ref="A1:R43"/>
  <sheetViews>
    <sheetView showGridLines="0" showRowColHeaders="0" showZeros="0" zoomScaleNormal="100" workbookViewId="0"/>
  </sheetViews>
  <sheetFormatPr defaultRowHeight="15" x14ac:dyDescent="0.25"/>
  <cols>
    <col min="2" max="2" width="20.42578125" customWidth="1"/>
    <col min="3" max="3" width="12.28515625" customWidth="1"/>
    <col min="4" max="4" width="18.42578125" customWidth="1"/>
    <col min="5" max="5" width="16.42578125" customWidth="1"/>
    <col min="6" max="6" width="4.7109375" customWidth="1"/>
    <col min="8" max="8" width="12.42578125" customWidth="1"/>
    <col min="10" max="10" width="26.28515625" customWidth="1"/>
  </cols>
  <sheetData>
    <row r="1" spans="1:18" s="25" customFormat="1" x14ac:dyDescent="0.25"/>
    <row r="2" spans="1:18" s="25" customFormat="1" x14ac:dyDescent="0.25"/>
    <row r="3" spans="1:18" s="25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26"/>
      <c r="R3" s="26"/>
    </row>
    <row r="4" spans="1:18" s="5" customFormat="1" ht="6" customHeight="1" x14ac:dyDescent="0.25"/>
    <row r="5" spans="1:18" s="2" customFormat="1" x14ac:dyDescent="0.25"/>
    <row r="6" spans="1:18" s="2" customFormat="1" x14ac:dyDescent="0.25"/>
    <row r="7" spans="1:18" s="2" customFormat="1" x14ac:dyDescent="0.25"/>
    <row r="8" spans="1:18" s="3" customFormat="1" x14ac:dyDescent="0.25"/>
    <row r="9" spans="1:18" s="4" customFormat="1" x14ac:dyDescent="0.25">
      <c r="A9"/>
      <c r="B9"/>
      <c r="C9"/>
      <c r="D9"/>
      <c r="E9"/>
      <c r="F9"/>
      <c r="G9"/>
    </row>
    <row r="10" spans="1:18" s="4" customFormat="1" ht="15" customHeight="1" x14ac:dyDescent="0.25">
      <c r="A10"/>
      <c r="B10"/>
      <c r="C10"/>
      <c r="D10"/>
      <c r="E10"/>
      <c r="F10"/>
      <c r="G10"/>
    </row>
    <row r="12" spans="1:18" ht="15" customHeight="1" x14ac:dyDescent="0.25"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</row>
    <row r="13" spans="1:18" ht="15" customHeight="1" x14ac:dyDescent="0.25"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</row>
    <row r="14" spans="1:18" ht="15" customHeight="1" x14ac:dyDescent="0.25"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</row>
    <row r="15" spans="1:18" ht="15" customHeight="1" x14ac:dyDescent="0.25"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</row>
    <row r="16" spans="1:18" ht="15" customHeight="1" x14ac:dyDescent="0.25"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</row>
    <row r="17" spans="3:13" ht="15" customHeight="1" x14ac:dyDescent="0.25"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</row>
    <row r="18" spans="3:13" ht="15" customHeight="1" x14ac:dyDescent="0.25"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</row>
    <row r="19" spans="3:13" ht="26.25" x14ac:dyDescent="0.25">
      <c r="E19" s="27"/>
      <c r="F19" s="28"/>
      <c r="G19" s="28"/>
      <c r="H19" s="28"/>
      <c r="I19" s="28"/>
      <c r="J19" s="28"/>
    </row>
    <row r="27" spans="3:13" s="5" customFormat="1" ht="6" customHeight="1" x14ac:dyDescent="0.25"/>
    <row r="28" spans="3:13" s="25" customFormat="1" x14ac:dyDescent="0.25"/>
    <row r="29" spans="3:13" s="25" customFormat="1" x14ac:dyDescent="0.25"/>
    <row r="30" spans="3:13" s="25" customFormat="1" x14ac:dyDescent="0.25"/>
    <row r="31" spans="3:13" s="25" customFormat="1" x14ac:dyDescent="0.25"/>
    <row r="32" spans="3:13" s="25" customFormat="1" x14ac:dyDescent="0.25"/>
    <row r="33" s="25" customFormat="1" x14ac:dyDescent="0.25"/>
    <row r="34" s="25" customFormat="1" x14ac:dyDescent="0.25"/>
    <row r="35" s="25" customFormat="1" x14ac:dyDescent="0.25"/>
    <row r="36" s="25" customFormat="1" x14ac:dyDescent="0.25"/>
    <row r="37" s="25" customFormat="1" x14ac:dyDescent="0.25"/>
    <row r="38" s="25" customFormat="1" x14ac:dyDescent="0.25"/>
    <row r="39" s="25" customFormat="1" x14ac:dyDescent="0.25"/>
    <row r="40" s="25" customFormat="1" x14ac:dyDescent="0.25"/>
    <row r="41" s="25" customFormat="1" x14ac:dyDescent="0.25"/>
    <row r="42" s="25" customFormat="1" x14ac:dyDescent="0.25"/>
    <row r="43" s="25" customFormat="1" x14ac:dyDescent="0.25"/>
  </sheetData>
  <sheetProtection selectLockedCells="1" selectUnlockedCells="1"/>
  <mergeCells count="1">
    <mergeCell ref="A3:P3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stoque">
    <pageSetUpPr autoPageBreaks="0"/>
  </sheetPr>
  <dimension ref="A1:S44"/>
  <sheetViews>
    <sheetView showGridLines="0" showRowColHeaders="0" showZeros="0" zoomScaleNormal="100" workbookViewId="0"/>
  </sheetViews>
  <sheetFormatPr defaultColWidth="0" defaultRowHeight="0" customHeight="1" zeroHeight="1" x14ac:dyDescent="0.25"/>
  <cols>
    <col min="1" max="1" width="23.28515625" customWidth="1"/>
    <col min="2" max="2" width="18.42578125" customWidth="1"/>
    <col min="3" max="3" width="18.85546875" customWidth="1"/>
    <col min="4" max="4" width="43" customWidth="1"/>
    <col min="5" max="8" width="15.7109375" customWidth="1"/>
    <col min="9" max="9" width="2.85546875" customWidth="1"/>
    <col min="10" max="10" width="4.85546875" customWidth="1"/>
    <col min="11" max="11" width="3.85546875" customWidth="1"/>
    <col min="12" max="12" width="2.85546875" customWidth="1"/>
    <col min="13" max="13" width="10.7109375" style="1" customWidth="1"/>
    <col min="14" max="14" width="8" style="79" customWidth="1"/>
    <col min="15" max="15" width="5.7109375" style="62" customWidth="1"/>
    <col min="16" max="16" width="12.42578125" style="1" customWidth="1"/>
    <col min="17" max="17" width="2.28515625" customWidth="1"/>
    <col min="18" max="19" width="0" hidden="1" customWidth="1"/>
    <col min="20" max="16384" width="9.140625" hidden="1"/>
  </cols>
  <sheetData>
    <row r="1" spans="1:17" s="25" customFormat="1" ht="15" x14ac:dyDescent="0.25">
      <c r="A1" s="173">
        <f ca="1">TODAY()</f>
        <v>43160</v>
      </c>
      <c r="B1" s="230">
        <v>1</v>
      </c>
      <c r="M1" s="29"/>
      <c r="N1" s="75"/>
      <c r="O1" s="58"/>
      <c r="P1" s="29"/>
    </row>
    <row r="2" spans="1:17" s="25" customFormat="1" ht="15" x14ac:dyDescent="0.25">
      <c r="B2" s="170"/>
      <c r="M2" s="29"/>
      <c r="N2" s="75"/>
      <c r="O2" s="58"/>
      <c r="P2" s="29"/>
    </row>
    <row r="3" spans="1:17" s="158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26"/>
      <c r="O3" s="26"/>
      <c r="P3" s="26"/>
      <c r="Q3" s="26"/>
    </row>
    <row r="4" spans="1:17" s="5" customFormat="1" ht="6" customHeight="1" x14ac:dyDescent="0.25">
      <c r="M4" s="30"/>
      <c r="N4" s="76"/>
      <c r="O4" s="59"/>
      <c r="P4" s="30"/>
    </row>
    <row r="5" spans="1:17" s="2" customFormat="1" ht="15" x14ac:dyDescent="0.25">
      <c r="M5" s="31"/>
      <c r="N5" s="77"/>
      <c r="O5" s="60"/>
      <c r="P5" s="31"/>
    </row>
    <row r="6" spans="1:17" s="2" customFormat="1" ht="15" x14ac:dyDescent="0.25">
      <c r="M6" s="31"/>
      <c r="N6" s="77"/>
      <c r="O6" s="60"/>
      <c r="P6" s="31"/>
    </row>
    <row r="7" spans="1:17" s="2" customFormat="1" ht="15" x14ac:dyDescent="0.25">
      <c r="M7" s="31"/>
      <c r="N7" s="77"/>
      <c r="O7" s="60"/>
      <c r="P7" s="31"/>
    </row>
    <row r="8" spans="1:17" s="3" customFormat="1" ht="30.75" customHeight="1" x14ac:dyDescent="0.25">
      <c r="M8" s="32"/>
      <c r="N8" s="78"/>
      <c r="O8" s="61"/>
      <c r="P8" s="32"/>
    </row>
    <row r="9" spans="1:17" ht="28.5" customHeight="1" thickBot="1" x14ac:dyDescent="0.3">
      <c r="C9" s="84"/>
      <c r="D9" s="84"/>
      <c r="M9"/>
      <c r="N9"/>
      <c r="O9"/>
      <c r="P9"/>
    </row>
    <row r="10" spans="1:17" ht="27.75" customHeight="1" thickBot="1" x14ac:dyDescent="0.3">
      <c r="B10" s="370" t="s">
        <v>86</v>
      </c>
      <c r="C10" s="371"/>
      <c r="D10" s="171" t="s">
        <v>57</v>
      </c>
      <c r="E10" s="372" t="s">
        <v>88</v>
      </c>
      <c r="F10" s="373"/>
      <c r="G10" s="373"/>
      <c r="H10" s="374"/>
      <c r="M10"/>
      <c r="N10"/>
      <c r="O10"/>
      <c r="P10"/>
    </row>
    <row r="11" spans="1:17" ht="16.5" thickBot="1" x14ac:dyDescent="0.3">
      <c r="B11" s="361" t="s">
        <v>81</v>
      </c>
      <c r="C11" s="362"/>
      <c r="D11" s="172"/>
      <c r="E11" s="361" t="s">
        <v>81</v>
      </c>
      <c r="F11" s="362"/>
      <c r="G11" s="361" t="s">
        <v>82</v>
      </c>
      <c r="H11" s="362"/>
      <c r="L11" s="83"/>
      <c r="M11"/>
      <c r="N11"/>
      <c r="O11"/>
      <c r="P11"/>
    </row>
    <row r="12" spans="1:17" ht="45" customHeight="1" thickBot="1" x14ac:dyDescent="0.3">
      <c r="B12" s="184"/>
      <c r="C12" s="185"/>
      <c r="D12" s="183"/>
      <c r="E12" s="186"/>
      <c r="F12" s="187" t="str">
        <f>IFERROR(VLOOKUP(D12,preços,3,FALSE),"-")</f>
        <v>-</v>
      </c>
      <c r="G12" s="186"/>
      <c r="H12" s="187" t="str">
        <f>IFERROR(VLOOKUP(D12,preços,3,FALSE),"-")</f>
        <v>-</v>
      </c>
      <c r="M12"/>
      <c r="N12"/>
      <c r="O12"/>
      <c r="P12"/>
    </row>
    <row r="13" spans="1:17" ht="15" customHeight="1" x14ac:dyDescent="0.25">
      <c r="B13" s="375" t="s">
        <v>85</v>
      </c>
      <c r="C13" s="376"/>
      <c r="D13" s="363" t="s">
        <v>84</v>
      </c>
      <c r="E13" s="366" t="s">
        <v>59</v>
      </c>
      <c r="F13" s="366"/>
      <c r="G13" s="366" t="s">
        <v>59</v>
      </c>
      <c r="H13" s="367"/>
      <c r="M13"/>
      <c r="N13"/>
      <c r="O13"/>
      <c r="P13"/>
      <c r="Q13" s="4"/>
    </row>
    <row r="14" spans="1:17" ht="15" customHeight="1" x14ac:dyDescent="0.25">
      <c r="B14" s="377"/>
      <c r="C14" s="378"/>
      <c r="D14" s="364"/>
      <c r="E14" s="174" t="str">
        <f>CONCATENATE(E16,"  ", F16)</f>
        <v>-  a</v>
      </c>
      <c r="F14" s="182" t="str">
        <f>IFERROR((E12/(VLOOKUP(D12,item,6,FALSE))),"-")</f>
        <v>-</v>
      </c>
      <c r="G14" s="174" t="str">
        <f>CONCATENATE(G16,"  ", H16)</f>
        <v>-  a</v>
      </c>
      <c r="H14" s="175" t="str">
        <f>IFERROR((G12/(VLOOKUP(D12,item,6,FALSE))),"-")</f>
        <v>-</v>
      </c>
      <c r="M14"/>
      <c r="N14"/>
      <c r="O14"/>
      <c r="P14"/>
    </row>
    <row r="15" spans="1:17" ht="23.25" customHeight="1" thickBot="1" x14ac:dyDescent="0.3">
      <c r="B15" s="379" t="s">
        <v>87</v>
      </c>
      <c r="C15" s="380"/>
      <c r="D15" s="365"/>
      <c r="E15" s="368" t="s">
        <v>83</v>
      </c>
      <c r="F15" s="368"/>
      <c r="G15" s="368" t="s">
        <v>83</v>
      </c>
      <c r="H15" s="369"/>
      <c r="M15"/>
      <c r="N15"/>
      <c r="O15"/>
      <c r="P15"/>
    </row>
    <row r="16" spans="1:17" ht="3.75" customHeight="1" thickBot="1" x14ac:dyDescent="0.3">
      <c r="B16" s="176"/>
      <c r="C16" s="177"/>
      <c r="D16" s="180"/>
      <c r="E16" s="178" t="str">
        <f>IFERROR((ROUND(E12/(VLOOKUP(D12,item,8,FALSE)),2)),"-")</f>
        <v>-</v>
      </c>
      <c r="F16" s="179" t="s">
        <v>63</v>
      </c>
      <c r="G16" s="178" t="str">
        <f>IFERROR((ROUND(G12/(VLOOKUP(D12,item,8,FALSE)),2)),"-")</f>
        <v>-</v>
      </c>
      <c r="H16" s="181" t="s">
        <v>63</v>
      </c>
      <c r="M16"/>
      <c r="N16"/>
      <c r="O16"/>
      <c r="P16"/>
    </row>
    <row r="17" spans="2:16" ht="15" customHeight="1" thickBot="1" x14ac:dyDescent="0.3">
      <c r="M17"/>
      <c r="N17"/>
      <c r="O17"/>
      <c r="P17"/>
    </row>
    <row r="18" spans="2:16" ht="51" customHeight="1" thickBot="1" x14ac:dyDescent="0.3">
      <c r="B18" s="355" t="s">
        <v>89</v>
      </c>
      <c r="C18" s="356"/>
      <c r="D18" s="356"/>
      <c r="E18" s="356"/>
      <c r="F18" s="356"/>
      <c r="G18" s="356"/>
      <c r="H18" s="357"/>
      <c r="M18"/>
      <c r="N18"/>
      <c r="O18"/>
      <c r="P18"/>
    </row>
    <row r="19" spans="2:16" ht="63" customHeight="1" thickBot="1" x14ac:dyDescent="0.3">
      <c r="B19" s="358" t="str">
        <f>IFERROR((CONCATENATE(H20," ",(VLOOKUP(D12,preços,3,FALSE)))),"-")</f>
        <v>-</v>
      </c>
      <c r="C19" s="359"/>
      <c r="D19" s="359"/>
      <c r="E19" s="359"/>
      <c r="F19" s="359"/>
      <c r="G19" s="359"/>
      <c r="H19" s="360"/>
      <c r="M19"/>
      <c r="N19"/>
      <c r="O19"/>
      <c r="P19"/>
    </row>
    <row r="20" spans="2:16" ht="4.5" customHeight="1" x14ac:dyDescent="0.25">
      <c r="H20">
        <v>0</v>
      </c>
      <c r="M20"/>
      <c r="N20"/>
      <c r="O20"/>
      <c r="P20"/>
    </row>
    <row r="21" spans="2:16" ht="4.5" customHeight="1" x14ac:dyDescent="0.25">
      <c r="M21"/>
      <c r="N21"/>
      <c r="O21"/>
      <c r="P21"/>
    </row>
    <row r="22" spans="2:16" ht="7.5" customHeight="1" x14ac:dyDescent="0.25">
      <c r="M22"/>
      <c r="N22"/>
      <c r="O22"/>
      <c r="P22"/>
    </row>
    <row r="23" spans="2:16" ht="7.5" customHeight="1" x14ac:dyDescent="0.25">
      <c r="C23" s="20"/>
      <c r="L23" s="42"/>
      <c r="N23" s="46"/>
      <c r="O23" s="48"/>
      <c r="P23" s="44"/>
    </row>
    <row r="24" spans="2:16" s="5" customFormat="1" ht="6" customHeight="1" x14ac:dyDescent="0.25">
      <c r="M24" s="30"/>
      <c r="N24" s="76"/>
      <c r="O24" s="59"/>
      <c r="P24" s="30"/>
    </row>
    <row r="25" spans="2:16" s="25" customFormat="1" ht="15" x14ac:dyDescent="0.25">
      <c r="M25" s="29"/>
      <c r="N25" s="75"/>
      <c r="O25" s="58"/>
      <c r="P25" s="29"/>
    </row>
    <row r="26" spans="2:16" s="25" customFormat="1" ht="15" x14ac:dyDescent="0.25">
      <c r="M26" s="29"/>
      <c r="N26" s="75"/>
      <c r="O26" s="58"/>
      <c r="P26" s="29"/>
    </row>
    <row r="27" spans="2:16" s="25" customFormat="1" ht="15" x14ac:dyDescent="0.25">
      <c r="M27" s="29"/>
      <c r="N27" s="75"/>
      <c r="O27" s="58"/>
      <c r="P27" s="29"/>
    </row>
    <row r="28" spans="2:16" s="25" customFormat="1" ht="15" x14ac:dyDescent="0.25">
      <c r="M28" s="29"/>
      <c r="N28" s="75"/>
      <c r="O28" s="58"/>
      <c r="P28" s="29"/>
    </row>
    <row r="29" spans="2:16" s="25" customFormat="1" ht="15" x14ac:dyDescent="0.25">
      <c r="M29" s="29"/>
      <c r="N29" s="75"/>
      <c r="O29" s="58"/>
      <c r="P29" s="29"/>
    </row>
    <row r="30" spans="2:16" s="25" customFormat="1" ht="15" x14ac:dyDescent="0.25">
      <c r="M30" s="29"/>
      <c r="N30" s="75"/>
      <c r="O30" s="58"/>
      <c r="P30" s="29"/>
    </row>
    <row r="31" spans="2:16" s="25" customFormat="1" ht="15" x14ac:dyDescent="0.25">
      <c r="M31" s="29"/>
      <c r="N31" s="75"/>
      <c r="O31" s="58"/>
      <c r="P31" s="29"/>
    </row>
    <row r="32" spans="2:16" s="25" customFormat="1" ht="15" x14ac:dyDescent="0.25">
      <c r="M32" s="29"/>
      <c r="N32" s="75"/>
      <c r="O32" s="58"/>
      <c r="P32" s="29"/>
    </row>
    <row r="33" spans="13:16" s="25" customFormat="1" ht="15" hidden="1" x14ac:dyDescent="0.25">
      <c r="M33" s="29"/>
      <c r="N33" s="75"/>
      <c r="O33" s="58"/>
      <c r="P33" s="29"/>
    </row>
    <row r="34" spans="13:16" s="25" customFormat="1" ht="15" hidden="1" x14ac:dyDescent="0.25">
      <c r="M34" s="29"/>
      <c r="N34" s="75"/>
      <c r="O34" s="58"/>
      <c r="P34" s="29"/>
    </row>
    <row r="35" spans="13:16" s="25" customFormat="1" ht="15" hidden="1" x14ac:dyDescent="0.25">
      <c r="M35" s="29"/>
      <c r="N35" s="75"/>
      <c r="O35" s="58"/>
      <c r="P35" s="29"/>
    </row>
    <row r="36" spans="13:16" s="25" customFormat="1" ht="15" hidden="1" x14ac:dyDescent="0.25">
      <c r="M36" s="29"/>
      <c r="N36" s="75"/>
      <c r="O36" s="58"/>
      <c r="P36" s="29"/>
    </row>
    <row r="37" spans="13:16" s="25" customFormat="1" ht="15" hidden="1" x14ac:dyDescent="0.25">
      <c r="M37" s="29"/>
      <c r="N37" s="75"/>
      <c r="O37" s="58"/>
      <c r="P37" s="29"/>
    </row>
    <row r="38" spans="13:16" s="25" customFormat="1" ht="15" hidden="1" x14ac:dyDescent="0.25">
      <c r="M38" s="29"/>
      <c r="N38" s="75"/>
      <c r="O38" s="58"/>
      <c r="P38" s="29"/>
    </row>
    <row r="39" spans="13:16" s="25" customFormat="1" ht="15" hidden="1" x14ac:dyDescent="0.25">
      <c r="M39" s="29"/>
      <c r="N39" s="75"/>
      <c r="O39" s="58"/>
      <c r="P39" s="29"/>
    </row>
    <row r="40" spans="13:16" s="25" customFormat="1" ht="15" hidden="1" x14ac:dyDescent="0.25">
      <c r="M40" s="29"/>
      <c r="N40" s="75"/>
      <c r="O40" s="58"/>
      <c r="P40" s="29"/>
    </row>
    <row r="41" spans="13:16" s="25" customFormat="1" ht="15" hidden="1" x14ac:dyDescent="0.25">
      <c r="M41" s="29"/>
      <c r="N41" s="75"/>
      <c r="O41" s="58"/>
      <c r="P41" s="29"/>
    </row>
    <row r="42" spans="13:16" s="25" customFormat="1" ht="15" hidden="1" x14ac:dyDescent="0.25">
      <c r="M42" s="29"/>
      <c r="N42" s="75"/>
      <c r="O42" s="58"/>
      <c r="P42" s="29"/>
    </row>
    <row r="43" spans="13:16" s="25" customFormat="1" ht="15" hidden="1" x14ac:dyDescent="0.25">
      <c r="M43" s="29"/>
      <c r="N43" s="75"/>
      <c r="O43" s="58"/>
      <c r="P43" s="29"/>
    </row>
    <row r="44" spans="13:16" ht="15" hidden="1" customHeight="1" x14ac:dyDescent="0.25"/>
  </sheetData>
  <mergeCells count="15">
    <mergeCell ref="B18:H18"/>
    <mergeCell ref="B19:H19"/>
    <mergeCell ref="A3:M3"/>
    <mergeCell ref="B11:C11"/>
    <mergeCell ref="E11:F11"/>
    <mergeCell ref="D13:D15"/>
    <mergeCell ref="G13:H13"/>
    <mergeCell ref="E13:F13"/>
    <mergeCell ref="G15:H15"/>
    <mergeCell ref="E15:F15"/>
    <mergeCell ref="B10:C10"/>
    <mergeCell ref="E10:H10"/>
    <mergeCell ref="G11:H11"/>
    <mergeCell ref="B13:C14"/>
    <mergeCell ref="B15:C15"/>
  </mergeCells>
  <dataValidations count="1">
    <dataValidation showInputMessage="1" showErrorMessage="1" sqref="D12" xr:uid="{00000000-0002-0000-0400-000000000000}"/>
  </dataValidation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295CF-A18D-4EC2-B609-2E935877CAD9}">
  <sheetPr codeName="shtHomeADM2"/>
  <dimension ref="A1:V65"/>
  <sheetViews>
    <sheetView showGridLines="0" showRowColHeaders="0" showZeros="0" zoomScaleNormal="100" workbookViewId="0">
      <selection activeCell="J16" sqref="J16"/>
    </sheetView>
  </sheetViews>
  <sheetFormatPr defaultRowHeight="15" x14ac:dyDescent="0.25"/>
  <cols>
    <col min="2" max="2" width="7.5703125" customWidth="1"/>
    <col min="3" max="3" width="37.28515625" customWidth="1"/>
    <col min="4" max="4" width="9.28515625" style="256" customWidth="1"/>
    <col min="5" max="5" width="5.7109375" customWidth="1"/>
    <col min="6" max="6" width="9.28515625" style="66" customWidth="1"/>
    <col min="7" max="7" width="5.7109375" customWidth="1"/>
    <col min="8" max="8" width="12.140625" style="256" customWidth="1"/>
    <col min="9" max="9" width="5.7109375" style="256" customWidth="1"/>
    <col min="10" max="10" width="7.140625" style="306" customWidth="1"/>
    <col min="11" max="11" width="2.42578125" style="1" customWidth="1"/>
    <col min="12" max="12" width="7.140625" style="1" customWidth="1"/>
    <col min="13" max="13" width="5.42578125" customWidth="1"/>
    <col min="14" max="14" width="5.85546875" customWidth="1"/>
    <col min="15" max="15" width="14.28515625" customWidth="1"/>
    <col min="16" max="16" width="2.85546875" customWidth="1"/>
    <col min="17" max="17" width="14.28515625" customWidth="1"/>
  </cols>
  <sheetData>
    <row r="1" spans="1:22" s="25" customFormat="1" x14ac:dyDescent="0.25">
      <c r="B1" s="230">
        <v>2</v>
      </c>
      <c r="D1" s="252"/>
      <c r="F1" s="67"/>
      <c r="H1" s="252"/>
      <c r="I1" s="252"/>
      <c r="J1" s="302"/>
      <c r="K1" s="29"/>
      <c r="L1" s="29"/>
    </row>
    <row r="2" spans="1:22" s="25" customFormat="1" x14ac:dyDescent="0.25">
      <c r="D2" s="252"/>
      <c r="F2" s="67"/>
      <c r="H2" s="252"/>
      <c r="I2" s="252"/>
      <c r="J2" s="302"/>
      <c r="K2" s="29"/>
      <c r="L2" s="29"/>
    </row>
    <row r="3" spans="1:22" s="25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26"/>
      <c r="V3" s="26"/>
    </row>
    <row r="4" spans="1:22" s="5" customFormat="1" ht="6" customHeight="1" x14ac:dyDescent="0.25">
      <c r="D4" s="253"/>
      <c r="F4" s="68"/>
      <c r="H4" s="253"/>
      <c r="I4" s="253"/>
      <c r="J4" s="303"/>
      <c r="K4" s="30"/>
      <c r="L4" s="30"/>
    </row>
    <row r="5" spans="1:22" s="2" customFormat="1" x14ac:dyDescent="0.25">
      <c r="D5" s="254"/>
      <c r="F5" s="69"/>
      <c r="H5" s="254"/>
      <c r="I5" s="254"/>
      <c r="J5" s="304"/>
      <c r="K5" s="31"/>
      <c r="L5" s="31"/>
    </row>
    <row r="6" spans="1:22" s="2" customFormat="1" x14ac:dyDescent="0.25">
      <c r="D6" s="254"/>
      <c r="F6" s="69"/>
      <c r="H6" s="254"/>
      <c r="I6" s="254"/>
      <c r="J6" s="304"/>
      <c r="K6" s="31"/>
      <c r="L6" s="31"/>
    </row>
    <row r="7" spans="1:22" s="2" customFormat="1" x14ac:dyDescent="0.25">
      <c r="D7" s="254"/>
      <c r="F7" s="69"/>
      <c r="H7" s="254"/>
      <c r="I7" s="254"/>
      <c r="J7" s="304"/>
      <c r="K7" s="31"/>
      <c r="L7" s="31"/>
    </row>
    <row r="8" spans="1:22" s="3" customFormat="1" x14ac:dyDescent="0.25">
      <c r="D8" s="255"/>
      <c r="F8" s="70"/>
      <c r="H8" s="255"/>
      <c r="I8" s="255"/>
      <c r="J8" s="305"/>
      <c r="K8" s="32"/>
      <c r="L8" s="32"/>
    </row>
    <row r="10" spans="1:22" ht="15" customHeight="1" thickBot="1" x14ac:dyDescent="0.3"/>
    <row r="11" spans="1:22" ht="19.5" thickBot="1" x14ac:dyDescent="0.3">
      <c r="B11" s="265" t="s">
        <v>1</v>
      </c>
      <c r="C11" s="266" t="s">
        <v>6</v>
      </c>
      <c r="D11" s="396" t="s">
        <v>108</v>
      </c>
      <c r="E11" s="397"/>
      <c r="F11" s="397"/>
      <c r="G11" s="398"/>
      <c r="H11" s="381" t="s">
        <v>109</v>
      </c>
      <c r="I11" s="399"/>
      <c r="J11" s="390" t="s">
        <v>64</v>
      </c>
      <c r="K11" s="391"/>
      <c r="L11" s="391"/>
      <c r="M11" s="336"/>
      <c r="O11" s="334" t="s">
        <v>111</v>
      </c>
      <c r="P11" s="335"/>
      <c r="Q11" s="336"/>
    </row>
    <row r="12" spans="1:22" ht="19.5" thickBot="1" x14ac:dyDescent="0.3">
      <c r="B12" s="263"/>
      <c r="C12" s="264"/>
      <c r="D12" s="392" t="s">
        <v>110</v>
      </c>
      <c r="E12" s="393"/>
      <c r="F12" s="394" t="s">
        <v>107</v>
      </c>
      <c r="G12" s="395"/>
      <c r="H12" s="267"/>
      <c r="I12" s="268"/>
      <c r="J12" s="307" t="s">
        <v>113</v>
      </c>
      <c r="K12" s="111" t="s">
        <v>56</v>
      </c>
      <c r="L12" s="112" t="s">
        <v>114</v>
      </c>
      <c r="M12" s="260"/>
      <c r="O12" s="257">
        <f>Estoque!B12</f>
        <v>0</v>
      </c>
      <c r="P12" s="258" t="s">
        <v>63</v>
      </c>
      <c r="Q12" s="259">
        <f>Estoque!C12</f>
        <v>0</v>
      </c>
    </row>
    <row r="13" spans="1:22" s="42" customFormat="1" x14ac:dyDescent="0.25">
      <c r="B13" s="269">
        <v>1</v>
      </c>
      <c r="C13" s="270" t="s">
        <v>14</v>
      </c>
      <c r="D13" s="271">
        <v>0</v>
      </c>
      <c r="E13" s="272" t="s">
        <v>28</v>
      </c>
      <c r="F13" s="271">
        <v>0</v>
      </c>
      <c r="G13" s="272" t="s">
        <v>28</v>
      </c>
      <c r="H13" s="297">
        <v>0</v>
      </c>
      <c r="I13" s="268" t="s">
        <v>28</v>
      </c>
      <c r="J13" s="312">
        <f t="shared" ref="J13:J40" si="0">IFERROR((H13/(VLOOKUP(C13,item,8,FALSE))),"-")</f>
        <v>0</v>
      </c>
      <c r="K13" s="111" t="s">
        <v>63</v>
      </c>
      <c r="L13" s="112">
        <f t="shared" ref="L13:L40" si="1">IFERROR((H13/(VLOOKUP(C13,item,6,FALSE))),"-")</f>
        <v>0</v>
      </c>
      <c r="M13" s="273" t="s">
        <v>28</v>
      </c>
    </row>
    <row r="14" spans="1:22" s="42" customFormat="1" x14ac:dyDescent="0.25">
      <c r="B14" s="274">
        <v>2</v>
      </c>
      <c r="C14" s="275" t="s">
        <v>15</v>
      </c>
      <c r="D14" s="271">
        <v>0</v>
      </c>
      <c r="E14" s="272" t="s">
        <v>28</v>
      </c>
      <c r="F14" s="271">
        <v>0</v>
      </c>
      <c r="G14" s="272" t="s">
        <v>28</v>
      </c>
      <c r="H14" s="297">
        <v>0</v>
      </c>
      <c r="I14" s="268" t="s">
        <v>28</v>
      </c>
      <c r="J14" s="312">
        <f t="shared" si="0"/>
        <v>0</v>
      </c>
      <c r="K14" s="111" t="s">
        <v>63</v>
      </c>
      <c r="L14" s="112">
        <f t="shared" si="1"/>
        <v>0</v>
      </c>
      <c r="M14" s="276" t="s">
        <v>28</v>
      </c>
    </row>
    <row r="15" spans="1:22" s="42" customFormat="1" x14ac:dyDescent="0.25">
      <c r="B15" s="274">
        <v>3</v>
      </c>
      <c r="C15" s="275" t="s">
        <v>16</v>
      </c>
      <c r="D15" s="271">
        <v>0</v>
      </c>
      <c r="E15" s="272" t="s">
        <v>28</v>
      </c>
      <c r="F15" s="271">
        <v>0</v>
      </c>
      <c r="G15" s="272" t="s">
        <v>28</v>
      </c>
      <c r="H15" s="297">
        <v>0</v>
      </c>
      <c r="I15" s="268" t="s">
        <v>28</v>
      </c>
      <c r="J15" s="312">
        <f t="shared" si="0"/>
        <v>0</v>
      </c>
      <c r="K15" s="111" t="s">
        <v>63</v>
      </c>
      <c r="L15" s="112">
        <f t="shared" si="1"/>
        <v>0</v>
      </c>
      <c r="M15" s="276" t="s">
        <v>28</v>
      </c>
    </row>
    <row r="16" spans="1:22" s="42" customFormat="1" x14ac:dyDescent="0.25">
      <c r="B16" s="274">
        <v>4</v>
      </c>
      <c r="C16" s="275" t="s">
        <v>17</v>
      </c>
      <c r="D16" s="271">
        <v>0</v>
      </c>
      <c r="E16" s="272" t="s">
        <v>28</v>
      </c>
      <c r="F16" s="271">
        <v>0</v>
      </c>
      <c r="G16" s="272" t="s">
        <v>28</v>
      </c>
      <c r="H16" s="297">
        <v>420</v>
      </c>
      <c r="I16" s="268" t="s">
        <v>28</v>
      </c>
      <c r="J16" s="312">
        <f t="shared" si="0"/>
        <v>4</v>
      </c>
      <c r="K16" s="111" t="s">
        <v>63</v>
      </c>
      <c r="L16" s="112">
        <f t="shared" si="1"/>
        <v>4.2</v>
      </c>
      <c r="M16" s="276" t="s">
        <v>28</v>
      </c>
    </row>
    <row r="17" spans="2:16" s="42" customFormat="1" x14ac:dyDescent="0.25">
      <c r="B17" s="274">
        <v>5</v>
      </c>
      <c r="C17" s="275" t="s">
        <v>18</v>
      </c>
      <c r="D17" s="271">
        <v>150</v>
      </c>
      <c r="E17" s="272" t="s">
        <v>28</v>
      </c>
      <c r="F17" s="271">
        <v>0</v>
      </c>
      <c r="G17" s="272" t="s">
        <v>28</v>
      </c>
      <c r="H17" s="297">
        <v>151</v>
      </c>
      <c r="I17" s="268" t="s">
        <v>28</v>
      </c>
      <c r="J17" s="312">
        <f t="shared" si="0"/>
        <v>1.4380952380952381</v>
      </c>
      <c r="K17" s="111" t="s">
        <v>63</v>
      </c>
      <c r="L17" s="112">
        <f t="shared" si="1"/>
        <v>1.51</v>
      </c>
      <c r="M17" s="276" t="s">
        <v>28</v>
      </c>
    </row>
    <row r="18" spans="2:16" s="42" customFormat="1" x14ac:dyDescent="0.25">
      <c r="B18" s="274">
        <v>6</v>
      </c>
      <c r="C18" s="275" t="s">
        <v>19</v>
      </c>
      <c r="D18" s="271">
        <v>0</v>
      </c>
      <c r="E18" s="272" t="s">
        <v>28</v>
      </c>
      <c r="F18" s="271">
        <v>0</v>
      </c>
      <c r="G18" s="272" t="s">
        <v>28</v>
      </c>
      <c r="H18" s="297">
        <v>0</v>
      </c>
      <c r="I18" s="268" t="s">
        <v>28</v>
      </c>
      <c r="J18" s="312">
        <f t="shared" si="0"/>
        <v>0</v>
      </c>
      <c r="K18" s="111" t="s">
        <v>63</v>
      </c>
      <c r="L18" s="112">
        <f t="shared" si="1"/>
        <v>0</v>
      </c>
      <c r="M18" s="276" t="s">
        <v>28</v>
      </c>
      <c r="P18" s="1"/>
    </row>
    <row r="19" spans="2:16" s="42" customFormat="1" x14ac:dyDescent="0.25">
      <c r="B19" s="274">
        <v>7</v>
      </c>
      <c r="C19" s="275" t="s">
        <v>20</v>
      </c>
      <c r="D19" s="271">
        <v>0</v>
      </c>
      <c r="E19" s="272" t="s">
        <v>28</v>
      </c>
      <c r="F19" s="271">
        <v>0</v>
      </c>
      <c r="G19" s="272" t="s">
        <v>28</v>
      </c>
      <c r="H19" s="297">
        <v>0</v>
      </c>
      <c r="I19" s="268" t="s">
        <v>28</v>
      </c>
      <c r="J19" s="312">
        <f t="shared" si="0"/>
        <v>0</v>
      </c>
      <c r="K19" s="111" t="s">
        <v>63</v>
      </c>
      <c r="L19" s="112">
        <f t="shared" si="1"/>
        <v>0</v>
      </c>
      <c r="M19" s="276" t="s">
        <v>28</v>
      </c>
    </row>
    <row r="20" spans="2:16" s="42" customFormat="1" x14ac:dyDescent="0.25">
      <c r="B20" s="274">
        <v>8</v>
      </c>
      <c r="C20" s="275" t="s">
        <v>21</v>
      </c>
      <c r="D20" s="271">
        <v>0</v>
      </c>
      <c r="E20" s="272" t="s">
        <v>28</v>
      </c>
      <c r="F20" s="271">
        <v>0</v>
      </c>
      <c r="G20" s="272" t="s">
        <v>28</v>
      </c>
      <c r="H20" s="297">
        <v>0</v>
      </c>
      <c r="I20" s="268" t="s">
        <v>28</v>
      </c>
      <c r="J20" s="312">
        <f t="shared" si="0"/>
        <v>0</v>
      </c>
      <c r="K20" s="111" t="s">
        <v>63</v>
      </c>
      <c r="L20" s="112">
        <f t="shared" si="1"/>
        <v>0</v>
      </c>
      <c r="M20" s="276" t="s">
        <v>28</v>
      </c>
    </row>
    <row r="21" spans="2:16" s="42" customFormat="1" x14ac:dyDescent="0.25">
      <c r="B21" s="274">
        <v>9</v>
      </c>
      <c r="C21" s="275" t="s">
        <v>22</v>
      </c>
      <c r="D21" s="271">
        <v>0</v>
      </c>
      <c r="E21" s="272" t="s">
        <v>28</v>
      </c>
      <c r="F21" s="271">
        <v>0</v>
      </c>
      <c r="G21" s="272" t="s">
        <v>28</v>
      </c>
      <c r="H21" s="297">
        <v>0</v>
      </c>
      <c r="I21" s="268" t="s">
        <v>28</v>
      </c>
      <c r="J21" s="312">
        <f t="shared" si="0"/>
        <v>0</v>
      </c>
      <c r="K21" s="111" t="s">
        <v>63</v>
      </c>
      <c r="L21" s="112">
        <f t="shared" si="1"/>
        <v>0</v>
      </c>
      <c r="M21" s="276" t="s">
        <v>28</v>
      </c>
    </row>
    <row r="22" spans="2:16" s="42" customFormat="1" x14ac:dyDescent="0.25">
      <c r="B22" s="274">
        <v>10</v>
      </c>
      <c r="C22" s="275" t="s">
        <v>23</v>
      </c>
      <c r="D22" s="271">
        <v>0</v>
      </c>
      <c r="E22" s="272" t="s">
        <v>28</v>
      </c>
      <c r="F22" s="271">
        <v>0</v>
      </c>
      <c r="G22" s="272" t="s">
        <v>28</v>
      </c>
      <c r="H22" s="297">
        <v>0</v>
      </c>
      <c r="I22" s="268" t="s">
        <v>28</v>
      </c>
      <c r="J22" s="312">
        <f t="shared" si="0"/>
        <v>0</v>
      </c>
      <c r="K22" s="111" t="s">
        <v>63</v>
      </c>
      <c r="L22" s="112">
        <f t="shared" si="1"/>
        <v>0</v>
      </c>
      <c r="M22" s="276" t="s">
        <v>28</v>
      </c>
    </row>
    <row r="23" spans="2:16" s="42" customFormat="1" x14ac:dyDescent="0.25">
      <c r="B23" s="274">
        <v>11</v>
      </c>
      <c r="C23" s="275" t="s">
        <v>34</v>
      </c>
      <c r="D23" s="271">
        <v>0</v>
      </c>
      <c r="E23" s="272" t="s">
        <v>28</v>
      </c>
      <c r="F23" s="271">
        <v>0</v>
      </c>
      <c r="G23" s="272" t="s">
        <v>28</v>
      </c>
      <c r="H23" s="297">
        <v>0</v>
      </c>
      <c r="I23" s="268" t="s">
        <v>28</v>
      </c>
      <c r="J23" s="312">
        <f t="shared" si="0"/>
        <v>0</v>
      </c>
      <c r="K23" s="111" t="s">
        <v>63</v>
      </c>
      <c r="L23" s="112">
        <f t="shared" si="1"/>
        <v>0</v>
      </c>
      <c r="M23" s="276" t="s">
        <v>28</v>
      </c>
    </row>
    <row r="24" spans="2:16" s="42" customFormat="1" x14ac:dyDescent="0.25">
      <c r="B24" s="274">
        <v>12</v>
      </c>
      <c r="C24" s="275" t="s">
        <v>35</v>
      </c>
      <c r="D24" s="271">
        <v>0</v>
      </c>
      <c r="E24" s="272" t="s">
        <v>28</v>
      </c>
      <c r="F24" s="271">
        <v>0</v>
      </c>
      <c r="G24" s="272" t="s">
        <v>28</v>
      </c>
      <c r="H24" s="297">
        <v>0</v>
      </c>
      <c r="I24" s="268" t="s">
        <v>28</v>
      </c>
      <c r="J24" s="312">
        <f t="shared" si="0"/>
        <v>0</v>
      </c>
      <c r="K24" s="111" t="s">
        <v>63</v>
      </c>
      <c r="L24" s="112">
        <f t="shared" si="1"/>
        <v>0</v>
      </c>
      <c r="M24" s="276" t="s">
        <v>28</v>
      </c>
    </row>
    <row r="25" spans="2:16" s="42" customFormat="1" x14ac:dyDescent="0.25">
      <c r="B25" s="274">
        <v>13</v>
      </c>
      <c r="C25" s="275" t="s">
        <v>36</v>
      </c>
      <c r="D25" s="271">
        <v>0</v>
      </c>
      <c r="E25" s="272" t="s">
        <v>28</v>
      </c>
      <c r="F25" s="271">
        <v>0</v>
      </c>
      <c r="G25" s="272" t="s">
        <v>28</v>
      </c>
      <c r="H25" s="297">
        <v>0</v>
      </c>
      <c r="I25" s="268" t="s">
        <v>28</v>
      </c>
      <c r="J25" s="312">
        <f t="shared" si="0"/>
        <v>0</v>
      </c>
      <c r="K25" s="111" t="s">
        <v>63</v>
      </c>
      <c r="L25" s="112">
        <f t="shared" si="1"/>
        <v>0</v>
      </c>
      <c r="M25" s="276" t="s">
        <v>28</v>
      </c>
    </row>
    <row r="26" spans="2:16" s="42" customFormat="1" x14ac:dyDescent="0.25">
      <c r="B26" s="274">
        <v>14</v>
      </c>
      <c r="C26" s="275" t="s">
        <v>37</v>
      </c>
      <c r="D26" s="271">
        <v>0</v>
      </c>
      <c r="E26" s="272" t="s">
        <v>28</v>
      </c>
      <c r="F26" s="271">
        <v>0</v>
      </c>
      <c r="G26" s="272" t="s">
        <v>28</v>
      </c>
      <c r="H26" s="297">
        <v>0</v>
      </c>
      <c r="I26" s="268" t="s">
        <v>28</v>
      </c>
      <c r="J26" s="312">
        <f t="shared" si="0"/>
        <v>0</v>
      </c>
      <c r="K26" s="111" t="s">
        <v>63</v>
      </c>
      <c r="L26" s="112">
        <f t="shared" si="1"/>
        <v>0</v>
      </c>
      <c r="M26" s="276" t="s">
        <v>28</v>
      </c>
    </row>
    <row r="27" spans="2:16" s="42" customFormat="1" x14ac:dyDescent="0.25">
      <c r="B27" s="274">
        <v>15</v>
      </c>
      <c r="C27" s="275" t="s">
        <v>38</v>
      </c>
      <c r="D27" s="271">
        <v>0</v>
      </c>
      <c r="E27" s="272" t="s">
        <v>28</v>
      </c>
      <c r="F27" s="271">
        <v>0</v>
      </c>
      <c r="G27" s="272" t="s">
        <v>28</v>
      </c>
      <c r="H27" s="297">
        <v>0</v>
      </c>
      <c r="I27" s="268" t="s">
        <v>28</v>
      </c>
      <c r="J27" s="312">
        <f t="shared" si="0"/>
        <v>0</v>
      </c>
      <c r="K27" s="111" t="s">
        <v>63</v>
      </c>
      <c r="L27" s="112">
        <f t="shared" si="1"/>
        <v>0</v>
      </c>
      <c r="M27" s="276" t="s">
        <v>28</v>
      </c>
    </row>
    <row r="28" spans="2:16" s="42" customFormat="1" x14ac:dyDescent="0.25">
      <c r="B28" s="274">
        <v>16</v>
      </c>
      <c r="C28" s="275" t="s">
        <v>39</v>
      </c>
      <c r="D28" s="271">
        <v>0</v>
      </c>
      <c r="E28" s="272" t="s">
        <v>28</v>
      </c>
      <c r="F28" s="271">
        <v>0</v>
      </c>
      <c r="G28" s="272" t="s">
        <v>28</v>
      </c>
      <c r="H28" s="297">
        <v>0</v>
      </c>
      <c r="I28" s="268" t="s">
        <v>28</v>
      </c>
      <c r="J28" s="312">
        <f t="shared" si="0"/>
        <v>0</v>
      </c>
      <c r="K28" s="111" t="s">
        <v>63</v>
      </c>
      <c r="L28" s="112">
        <f t="shared" si="1"/>
        <v>0</v>
      </c>
      <c r="M28" s="276" t="s">
        <v>28</v>
      </c>
    </row>
    <row r="29" spans="2:16" s="42" customFormat="1" x14ac:dyDescent="0.25">
      <c r="B29" s="274">
        <v>17</v>
      </c>
      <c r="C29" s="275" t="s">
        <v>40</v>
      </c>
      <c r="D29" s="271">
        <v>0</v>
      </c>
      <c r="E29" s="272" t="s">
        <v>28</v>
      </c>
      <c r="F29" s="271">
        <v>0</v>
      </c>
      <c r="G29" s="272" t="s">
        <v>28</v>
      </c>
      <c r="H29" s="297">
        <v>0</v>
      </c>
      <c r="I29" s="268" t="s">
        <v>28</v>
      </c>
      <c r="J29" s="312">
        <f t="shared" si="0"/>
        <v>0</v>
      </c>
      <c r="K29" s="111" t="s">
        <v>63</v>
      </c>
      <c r="L29" s="112">
        <f t="shared" si="1"/>
        <v>0</v>
      </c>
      <c r="M29" s="276" t="s">
        <v>28</v>
      </c>
    </row>
    <row r="30" spans="2:16" s="42" customFormat="1" x14ac:dyDescent="0.25">
      <c r="B30" s="274">
        <v>18</v>
      </c>
      <c r="C30" s="275" t="s">
        <v>41</v>
      </c>
      <c r="D30" s="271">
        <v>0</v>
      </c>
      <c r="E30" s="272" t="s">
        <v>28</v>
      </c>
      <c r="F30" s="271">
        <v>0</v>
      </c>
      <c r="G30" s="272" t="s">
        <v>28</v>
      </c>
      <c r="H30" s="297">
        <v>0</v>
      </c>
      <c r="I30" s="268" t="s">
        <v>28</v>
      </c>
      <c r="J30" s="312">
        <f t="shared" si="0"/>
        <v>0</v>
      </c>
      <c r="K30" s="111" t="s">
        <v>63</v>
      </c>
      <c r="L30" s="112">
        <f t="shared" si="1"/>
        <v>0</v>
      </c>
      <c r="M30" s="276" t="s">
        <v>28</v>
      </c>
    </row>
    <row r="31" spans="2:16" s="42" customFormat="1" x14ac:dyDescent="0.25">
      <c r="B31" s="274">
        <v>19</v>
      </c>
      <c r="C31" s="275" t="s">
        <v>42</v>
      </c>
      <c r="D31" s="271">
        <v>0</v>
      </c>
      <c r="E31" s="272" t="s">
        <v>28</v>
      </c>
      <c r="F31" s="271">
        <v>0</v>
      </c>
      <c r="G31" s="272" t="s">
        <v>28</v>
      </c>
      <c r="H31" s="297">
        <v>0</v>
      </c>
      <c r="I31" s="268" t="s">
        <v>28</v>
      </c>
      <c r="J31" s="312">
        <f t="shared" si="0"/>
        <v>0</v>
      </c>
      <c r="K31" s="111" t="s">
        <v>63</v>
      </c>
      <c r="L31" s="112">
        <f t="shared" si="1"/>
        <v>0</v>
      </c>
      <c r="M31" s="276" t="s">
        <v>28</v>
      </c>
    </row>
    <row r="32" spans="2:16" s="42" customFormat="1" x14ac:dyDescent="0.25">
      <c r="B32" s="274">
        <v>20</v>
      </c>
      <c r="C32" s="275" t="s">
        <v>43</v>
      </c>
      <c r="D32" s="271">
        <v>0</v>
      </c>
      <c r="E32" s="272" t="s">
        <v>28</v>
      </c>
      <c r="F32" s="271">
        <v>0</v>
      </c>
      <c r="G32" s="272" t="s">
        <v>28</v>
      </c>
      <c r="H32" s="297">
        <v>0</v>
      </c>
      <c r="I32" s="268" t="s">
        <v>28</v>
      </c>
      <c r="J32" s="312">
        <f t="shared" si="0"/>
        <v>0</v>
      </c>
      <c r="K32" s="111" t="s">
        <v>63</v>
      </c>
      <c r="L32" s="112">
        <f t="shared" si="1"/>
        <v>0</v>
      </c>
      <c r="M32" s="276" t="s">
        <v>28</v>
      </c>
    </row>
    <row r="33" spans="2:13" s="42" customFormat="1" x14ac:dyDescent="0.25">
      <c r="B33" s="274">
        <v>21</v>
      </c>
      <c r="C33" s="275" t="s">
        <v>44</v>
      </c>
      <c r="D33" s="271">
        <v>0</v>
      </c>
      <c r="E33" s="272" t="s">
        <v>28</v>
      </c>
      <c r="F33" s="271">
        <v>0</v>
      </c>
      <c r="G33" s="272" t="s">
        <v>28</v>
      </c>
      <c r="H33" s="297">
        <v>0</v>
      </c>
      <c r="I33" s="268" t="s">
        <v>28</v>
      </c>
      <c r="J33" s="312">
        <f t="shared" si="0"/>
        <v>0</v>
      </c>
      <c r="K33" s="111" t="s">
        <v>63</v>
      </c>
      <c r="L33" s="112">
        <f t="shared" si="1"/>
        <v>0</v>
      </c>
      <c r="M33" s="276" t="s">
        <v>28</v>
      </c>
    </row>
    <row r="34" spans="2:13" s="42" customFormat="1" x14ac:dyDescent="0.25">
      <c r="B34" s="274">
        <v>22</v>
      </c>
      <c r="C34" s="275" t="s">
        <v>45</v>
      </c>
      <c r="D34" s="271">
        <v>0</v>
      </c>
      <c r="E34" s="272" t="s">
        <v>28</v>
      </c>
      <c r="F34" s="271">
        <v>0</v>
      </c>
      <c r="G34" s="272" t="s">
        <v>28</v>
      </c>
      <c r="H34" s="297">
        <v>0</v>
      </c>
      <c r="I34" s="268" t="s">
        <v>28</v>
      </c>
      <c r="J34" s="312">
        <f t="shared" si="0"/>
        <v>0</v>
      </c>
      <c r="K34" s="111" t="s">
        <v>63</v>
      </c>
      <c r="L34" s="112">
        <f t="shared" si="1"/>
        <v>0</v>
      </c>
      <c r="M34" s="276" t="s">
        <v>28</v>
      </c>
    </row>
    <row r="35" spans="2:13" s="42" customFormat="1" x14ac:dyDescent="0.25">
      <c r="B35" s="274">
        <v>23</v>
      </c>
      <c r="C35" s="275" t="s">
        <v>46</v>
      </c>
      <c r="D35" s="271">
        <v>0</v>
      </c>
      <c r="E35" s="272" t="s">
        <v>28</v>
      </c>
      <c r="F35" s="271">
        <v>0</v>
      </c>
      <c r="G35" s="272" t="s">
        <v>28</v>
      </c>
      <c r="H35" s="297">
        <v>0</v>
      </c>
      <c r="I35" s="268" t="s">
        <v>28</v>
      </c>
      <c r="J35" s="312">
        <f t="shared" si="0"/>
        <v>0</v>
      </c>
      <c r="K35" s="111" t="s">
        <v>63</v>
      </c>
      <c r="L35" s="112">
        <f t="shared" si="1"/>
        <v>0</v>
      </c>
      <c r="M35" s="276" t="s">
        <v>28</v>
      </c>
    </row>
    <row r="36" spans="2:13" s="42" customFormat="1" x14ac:dyDescent="0.25">
      <c r="B36" s="274">
        <v>24</v>
      </c>
      <c r="C36" s="275" t="s">
        <v>47</v>
      </c>
      <c r="D36" s="271">
        <v>0</v>
      </c>
      <c r="E36" s="272" t="s">
        <v>28</v>
      </c>
      <c r="F36" s="271">
        <v>0</v>
      </c>
      <c r="G36" s="272" t="s">
        <v>28</v>
      </c>
      <c r="H36" s="297">
        <v>0</v>
      </c>
      <c r="I36" s="268" t="s">
        <v>28</v>
      </c>
      <c r="J36" s="312">
        <f t="shared" si="0"/>
        <v>0</v>
      </c>
      <c r="K36" s="111" t="s">
        <v>63</v>
      </c>
      <c r="L36" s="112">
        <f t="shared" si="1"/>
        <v>0</v>
      </c>
      <c r="M36" s="276" t="s">
        <v>28</v>
      </c>
    </row>
    <row r="37" spans="2:13" s="42" customFormat="1" x14ac:dyDescent="0.25">
      <c r="B37" s="274">
        <v>25</v>
      </c>
      <c r="C37" s="275" t="s">
        <v>48</v>
      </c>
      <c r="D37" s="271">
        <v>0</v>
      </c>
      <c r="E37" s="272" t="s">
        <v>28</v>
      </c>
      <c r="F37" s="271">
        <v>0</v>
      </c>
      <c r="G37" s="272" t="s">
        <v>28</v>
      </c>
      <c r="H37" s="297">
        <v>0</v>
      </c>
      <c r="I37" s="268" t="s">
        <v>28</v>
      </c>
      <c r="J37" s="312">
        <f t="shared" si="0"/>
        <v>0</v>
      </c>
      <c r="K37" s="111" t="s">
        <v>63</v>
      </c>
      <c r="L37" s="112">
        <f t="shared" si="1"/>
        <v>0</v>
      </c>
      <c r="M37" s="276" t="s">
        <v>28</v>
      </c>
    </row>
    <row r="38" spans="2:13" s="42" customFormat="1" x14ac:dyDescent="0.25">
      <c r="B38" s="274">
        <v>26</v>
      </c>
      <c r="C38" s="275" t="s">
        <v>49</v>
      </c>
      <c r="D38" s="271">
        <v>0</v>
      </c>
      <c r="E38" s="272" t="s">
        <v>28</v>
      </c>
      <c r="F38" s="271">
        <v>0</v>
      </c>
      <c r="G38" s="272" t="s">
        <v>28</v>
      </c>
      <c r="H38" s="297">
        <v>0</v>
      </c>
      <c r="I38" s="268" t="s">
        <v>28</v>
      </c>
      <c r="J38" s="312">
        <f t="shared" si="0"/>
        <v>0</v>
      </c>
      <c r="K38" s="111" t="s">
        <v>63</v>
      </c>
      <c r="L38" s="112">
        <f t="shared" si="1"/>
        <v>0</v>
      </c>
      <c r="M38" s="276" t="s">
        <v>28</v>
      </c>
    </row>
    <row r="39" spans="2:13" s="42" customFormat="1" x14ac:dyDescent="0.25">
      <c r="B39" s="274">
        <v>27</v>
      </c>
      <c r="C39" s="275" t="s">
        <v>50</v>
      </c>
      <c r="D39" s="271">
        <v>0</v>
      </c>
      <c r="E39" s="272" t="s">
        <v>28</v>
      </c>
      <c r="F39" s="271">
        <v>0</v>
      </c>
      <c r="G39" s="272" t="s">
        <v>28</v>
      </c>
      <c r="H39" s="297">
        <v>0</v>
      </c>
      <c r="I39" s="268" t="s">
        <v>28</v>
      </c>
      <c r="J39" s="312">
        <f t="shared" si="0"/>
        <v>0</v>
      </c>
      <c r="K39" s="111" t="s">
        <v>63</v>
      </c>
      <c r="L39" s="112">
        <f t="shared" si="1"/>
        <v>0</v>
      </c>
      <c r="M39" s="276" t="s">
        <v>28</v>
      </c>
    </row>
    <row r="40" spans="2:13" s="42" customFormat="1" x14ac:dyDescent="0.25">
      <c r="B40" s="274">
        <v>28</v>
      </c>
      <c r="C40" s="275" t="s">
        <v>51</v>
      </c>
      <c r="D40" s="271">
        <v>0</v>
      </c>
      <c r="E40" s="272" t="s">
        <v>28</v>
      </c>
      <c r="F40" s="271">
        <v>0</v>
      </c>
      <c r="G40" s="272" t="s">
        <v>28</v>
      </c>
      <c r="H40" s="297">
        <v>0</v>
      </c>
      <c r="I40" s="268" t="s">
        <v>28</v>
      </c>
      <c r="J40" s="312">
        <f t="shared" si="0"/>
        <v>0</v>
      </c>
      <c r="K40" s="114" t="s">
        <v>63</v>
      </c>
      <c r="L40" s="112">
        <f t="shared" si="1"/>
        <v>0</v>
      </c>
      <c r="M40" s="277" t="s">
        <v>28</v>
      </c>
    </row>
    <row r="41" spans="2:13" s="42" customFormat="1" ht="15.75" thickBot="1" x14ac:dyDescent="0.3">
      <c r="B41" s="278"/>
      <c r="C41" s="279"/>
      <c r="D41" s="280"/>
      <c r="E41" s="281"/>
      <c r="F41" s="282"/>
      <c r="G41" s="283"/>
      <c r="H41" s="284"/>
      <c r="I41" s="284"/>
      <c r="J41" s="308"/>
      <c r="K41" s="114"/>
      <c r="L41" s="114"/>
      <c r="M41" s="285"/>
    </row>
    <row r="42" spans="2:13" s="42" customFormat="1" ht="19.5" thickBot="1" x14ac:dyDescent="0.3">
      <c r="B42" s="298"/>
      <c r="C42" s="299" t="s">
        <v>5</v>
      </c>
      <c r="D42" s="381" t="s">
        <v>108</v>
      </c>
      <c r="E42" s="382"/>
      <c r="F42" s="383"/>
      <c r="G42" s="384"/>
      <c r="H42" s="385" t="s">
        <v>109</v>
      </c>
      <c r="I42" s="384"/>
      <c r="J42" s="309"/>
      <c r="K42" s="300"/>
      <c r="L42" s="300"/>
      <c r="M42" s="301"/>
    </row>
    <row r="43" spans="2:13" s="42" customFormat="1" ht="18.75" customHeight="1" x14ac:dyDescent="0.25">
      <c r="B43" s="286"/>
      <c r="C43" s="287"/>
      <c r="D43" s="386" t="s">
        <v>110</v>
      </c>
      <c r="E43" s="387"/>
      <c r="F43" s="388" t="s">
        <v>107</v>
      </c>
      <c r="G43" s="389"/>
      <c r="H43" s="288"/>
      <c r="I43" s="288"/>
      <c r="J43" s="310"/>
      <c r="K43" s="116"/>
      <c r="L43" s="116"/>
      <c r="M43" s="289"/>
    </row>
    <row r="44" spans="2:13" s="42" customFormat="1" ht="18.75" customHeight="1" thickBot="1" x14ac:dyDescent="0.3">
      <c r="B44" s="290">
        <v>29</v>
      </c>
      <c r="C44" s="291" t="s">
        <v>52</v>
      </c>
      <c r="D44" s="292">
        <v>0</v>
      </c>
      <c r="E44" s="293" t="s">
        <v>30</v>
      </c>
      <c r="F44" s="294">
        <v>0</v>
      </c>
      <c r="G44" s="293" t="s">
        <v>30</v>
      </c>
      <c r="H44" s="295">
        <v>0</v>
      </c>
      <c r="I44" s="295" t="s">
        <v>112</v>
      </c>
      <c r="J44" s="311" t="str">
        <f>IFERROR((H44/(VLOOKUP(C44,item,8,FALSE))),"-")</f>
        <v>-</v>
      </c>
      <c r="K44" s="261" t="s">
        <v>63</v>
      </c>
      <c r="L44" s="262" t="str">
        <f>IFERROR((H44/(VLOOKUP(C44,item,6,FALSE))),"-")</f>
        <v>-</v>
      </c>
      <c r="M44" s="296" t="s">
        <v>30</v>
      </c>
    </row>
    <row r="46" spans="2:13" ht="15" customHeight="1" x14ac:dyDescent="0.25"/>
    <row r="47" spans="2:13" ht="15" customHeight="1" x14ac:dyDescent="0.25"/>
    <row r="49" spans="4:12" s="5" customFormat="1" ht="6" customHeight="1" x14ac:dyDescent="0.25">
      <c r="D49" s="253"/>
      <c r="F49" s="68"/>
      <c r="H49" s="253"/>
      <c r="I49" s="253"/>
      <c r="J49" s="303"/>
      <c r="K49" s="30"/>
      <c r="L49" s="30"/>
    </row>
    <row r="50" spans="4:12" s="25" customFormat="1" x14ac:dyDescent="0.25">
      <c r="D50" s="252"/>
      <c r="F50" s="67"/>
      <c r="H50" s="252"/>
      <c r="I50" s="252"/>
      <c r="J50" s="302"/>
      <c r="K50" s="29"/>
      <c r="L50" s="29"/>
    </row>
    <row r="51" spans="4:12" s="25" customFormat="1" x14ac:dyDescent="0.25">
      <c r="D51" s="252"/>
      <c r="F51" s="67"/>
      <c r="H51" s="252"/>
      <c r="I51" s="252"/>
      <c r="J51" s="302"/>
      <c r="K51" s="29"/>
      <c r="L51" s="29"/>
    </row>
    <row r="52" spans="4:12" s="25" customFormat="1" x14ac:dyDescent="0.25">
      <c r="D52" s="252"/>
      <c r="F52" s="67"/>
      <c r="H52" s="252"/>
      <c r="I52" s="252"/>
      <c r="J52" s="302"/>
      <c r="K52" s="29"/>
      <c r="L52" s="29"/>
    </row>
    <row r="53" spans="4:12" s="25" customFormat="1" x14ac:dyDescent="0.25">
      <c r="D53" s="252"/>
      <c r="F53" s="67"/>
      <c r="H53" s="252"/>
      <c r="I53" s="252"/>
      <c r="J53" s="302"/>
      <c r="K53" s="29"/>
      <c r="L53" s="29"/>
    </row>
    <row r="54" spans="4:12" s="25" customFormat="1" x14ac:dyDescent="0.25">
      <c r="D54" s="252"/>
      <c r="F54" s="67"/>
      <c r="H54" s="252"/>
      <c r="I54" s="252"/>
      <c r="J54" s="302"/>
      <c r="K54" s="29"/>
      <c r="L54" s="29"/>
    </row>
    <row r="55" spans="4:12" s="25" customFormat="1" x14ac:dyDescent="0.25">
      <c r="D55" s="252"/>
      <c r="F55" s="67"/>
      <c r="H55" s="252"/>
      <c r="I55" s="252"/>
      <c r="J55" s="302"/>
      <c r="K55" s="29"/>
      <c r="L55" s="29"/>
    </row>
    <row r="56" spans="4:12" s="25" customFormat="1" x14ac:dyDescent="0.25">
      <c r="D56" s="252"/>
      <c r="F56" s="67"/>
      <c r="H56" s="252"/>
      <c r="I56" s="252"/>
      <c r="J56" s="302"/>
      <c r="K56" s="29"/>
      <c r="L56" s="29"/>
    </row>
    <row r="57" spans="4:12" s="25" customFormat="1" x14ac:dyDescent="0.25">
      <c r="D57" s="252"/>
      <c r="F57" s="67"/>
      <c r="H57" s="252"/>
      <c r="I57" s="252"/>
      <c r="J57" s="302"/>
      <c r="K57" s="29"/>
      <c r="L57" s="29"/>
    </row>
    <row r="58" spans="4:12" s="25" customFormat="1" x14ac:dyDescent="0.25">
      <c r="D58" s="252"/>
      <c r="F58" s="67"/>
      <c r="H58" s="252"/>
      <c r="I58" s="252"/>
      <c r="J58" s="302"/>
      <c r="K58" s="29"/>
      <c r="L58" s="29"/>
    </row>
    <row r="59" spans="4:12" s="25" customFormat="1" x14ac:dyDescent="0.25">
      <c r="D59" s="252"/>
      <c r="F59" s="67"/>
      <c r="H59" s="252"/>
      <c r="I59" s="252"/>
      <c r="J59" s="302"/>
      <c r="K59" s="29"/>
      <c r="L59" s="29"/>
    </row>
    <row r="60" spans="4:12" s="25" customFormat="1" x14ac:dyDescent="0.25">
      <c r="D60" s="252"/>
      <c r="F60" s="67"/>
      <c r="H60" s="252"/>
      <c r="I60" s="252"/>
      <c r="J60" s="302"/>
      <c r="K60" s="29"/>
      <c r="L60" s="29"/>
    </row>
    <row r="61" spans="4:12" s="25" customFormat="1" x14ac:dyDescent="0.25">
      <c r="D61" s="252"/>
      <c r="F61" s="67"/>
      <c r="H61" s="252"/>
      <c r="I61" s="252"/>
      <c r="J61" s="302"/>
      <c r="K61" s="29"/>
      <c r="L61" s="29"/>
    </row>
    <row r="62" spans="4:12" s="25" customFormat="1" x14ac:dyDescent="0.25">
      <c r="D62" s="252"/>
      <c r="F62" s="67"/>
      <c r="H62" s="252"/>
      <c r="I62" s="252"/>
      <c r="J62" s="302"/>
      <c r="K62" s="29"/>
      <c r="L62" s="29"/>
    </row>
    <row r="63" spans="4:12" s="25" customFormat="1" x14ac:dyDescent="0.25">
      <c r="D63" s="252"/>
      <c r="F63" s="67"/>
      <c r="H63" s="252"/>
      <c r="I63" s="252"/>
      <c r="J63" s="302"/>
      <c r="K63" s="29"/>
      <c r="L63" s="29"/>
    </row>
    <row r="64" spans="4:12" s="25" customFormat="1" x14ac:dyDescent="0.25">
      <c r="D64" s="252"/>
      <c r="F64" s="67"/>
      <c r="H64" s="252"/>
      <c r="I64" s="252"/>
      <c r="J64" s="302"/>
      <c r="K64" s="29"/>
      <c r="L64" s="29"/>
    </row>
    <row r="65" spans="4:12" s="25" customFormat="1" x14ac:dyDescent="0.25">
      <c r="D65" s="252"/>
      <c r="F65" s="67"/>
      <c r="H65" s="252"/>
      <c r="I65" s="252"/>
      <c r="J65" s="302"/>
      <c r="K65" s="29"/>
      <c r="L65" s="29"/>
    </row>
  </sheetData>
  <sheetProtection selectLockedCells="1" selectUnlockedCells="1"/>
  <mergeCells count="11">
    <mergeCell ref="D42:G42"/>
    <mergeCell ref="H42:I42"/>
    <mergeCell ref="D43:E43"/>
    <mergeCell ref="F43:G43"/>
    <mergeCell ref="A3:T3"/>
    <mergeCell ref="J11:M11"/>
    <mergeCell ref="D12:E12"/>
    <mergeCell ref="F12:G12"/>
    <mergeCell ref="D11:G11"/>
    <mergeCell ref="O11:Q11"/>
    <mergeCell ref="H11:I11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E468A-AFAE-4181-A1DC-061631B8FC12}">
  <sheetPr codeName="shtEstoque1">
    <pageSetUpPr autoPageBreaks="0"/>
  </sheetPr>
  <dimension ref="A1:T43"/>
  <sheetViews>
    <sheetView showGridLines="0" showRowColHeaders="0" showZeros="0" zoomScaleNormal="100" workbookViewId="0">
      <selection activeCell="E11" sqref="E11"/>
    </sheetView>
  </sheetViews>
  <sheetFormatPr defaultColWidth="0" defaultRowHeight="0" customHeight="1" zeroHeight="1" x14ac:dyDescent="0.25"/>
  <cols>
    <col min="1" max="1" width="25.140625" customWidth="1"/>
    <col min="2" max="2" width="27.85546875" customWidth="1"/>
    <col min="3" max="3" width="18.42578125" customWidth="1"/>
    <col min="4" max="4" width="43" customWidth="1"/>
    <col min="5" max="5" width="26" customWidth="1"/>
    <col min="6" max="7" width="15.7109375" customWidth="1"/>
    <col min="8" max="8" width="2.85546875" customWidth="1"/>
    <col min="9" max="9" width="4.85546875" customWidth="1"/>
    <col min="10" max="10" width="3.85546875" customWidth="1"/>
    <col min="11" max="11" width="2.85546875" customWidth="1"/>
    <col min="12" max="12" width="10.7109375" style="1" customWidth="1"/>
    <col min="13" max="13" width="8" style="79" customWidth="1"/>
    <col min="14" max="14" width="5.7109375" style="62" customWidth="1"/>
    <col min="15" max="15" width="12.42578125" style="1" customWidth="1"/>
    <col min="16" max="16" width="2.28515625" customWidth="1"/>
    <col min="17" max="20" width="0" hidden="1" customWidth="1"/>
    <col min="21" max="16384" width="9.140625" hidden="1"/>
  </cols>
  <sheetData>
    <row r="1" spans="1:16" s="25" customFormat="1" ht="15" x14ac:dyDescent="0.25">
      <c r="A1" s="173">
        <f ca="1">TODAY()</f>
        <v>43160</v>
      </c>
      <c r="B1" s="234">
        <v>1</v>
      </c>
      <c r="C1" s="230"/>
      <c r="L1" s="29"/>
      <c r="M1" s="75"/>
      <c r="N1" s="58"/>
      <c r="O1" s="29"/>
    </row>
    <row r="2" spans="1:16" s="25" customFormat="1" ht="15" x14ac:dyDescent="0.25">
      <c r="C2" s="170"/>
      <c r="L2" s="29"/>
      <c r="M2" s="75"/>
      <c r="N2" s="58"/>
      <c r="O2" s="29"/>
    </row>
    <row r="3" spans="1:16" s="228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26"/>
      <c r="M3" s="26"/>
      <c r="N3" s="26"/>
      <c r="O3" s="26"/>
      <c r="P3" s="26"/>
    </row>
    <row r="4" spans="1:16" s="5" customFormat="1" ht="6" customHeight="1" x14ac:dyDescent="0.25">
      <c r="L4" s="30"/>
      <c r="M4" s="76"/>
      <c r="N4" s="59"/>
      <c r="O4" s="30"/>
    </row>
    <row r="5" spans="1:16" s="2" customFormat="1" ht="15" x14ac:dyDescent="0.25">
      <c r="L5" s="31"/>
      <c r="M5" s="77"/>
      <c r="N5" s="60"/>
      <c r="O5" s="31"/>
    </row>
    <row r="6" spans="1:16" s="2" customFormat="1" ht="15" x14ac:dyDescent="0.25">
      <c r="L6" s="31"/>
      <c r="M6" s="77"/>
      <c r="N6" s="60"/>
      <c r="O6" s="31"/>
    </row>
    <row r="7" spans="1:16" s="2" customFormat="1" ht="15" x14ac:dyDescent="0.25">
      <c r="L7" s="31"/>
      <c r="M7" s="77"/>
      <c r="N7" s="60"/>
      <c r="O7" s="31"/>
    </row>
    <row r="8" spans="1:16" s="3" customFormat="1" ht="30.75" customHeight="1" x14ac:dyDescent="0.25">
      <c r="L8" s="32"/>
      <c r="M8" s="78"/>
      <c r="N8" s="61"/>
      <c r="O8" s="32"/>
    </row>
    <row r="9" spans="1:16" ht="47.25" customHeight="1" thickBot="1" x14ac:dyDescent="0.3">
      <c r="D9" s="84"/>
      <c r="L9"/>
      <c r="M9"/>
      <c r="N9"/>
      <c r="O9"/>
    </row>
    <row r="10" spans="1:16" ht="27.75" customHeight="1" thickBot="1" x14ac:dyDescent="0.3">
      <c r="C10" s="229" t="s">
        <v>97</v>
      </c>
      <c r="D10" s="171" t="s">
        <v>98</v>
      </c>
      <c r="E10" s="231" t="s">
        <v>99</v>
      </c>
      <c r="L10"/>
      <c r="M10"/>
      <c r="N10"/>
      <c r="O10"/>
    </row>
    <row r="11" spans="1:16" ht="45" customHeight="1" thickBot="1" x14ac:dyDescent="0.3">
      <c r="C11" s="184"/>
      <c r="D11" s="247"/>
      <c r="E11" s="233"/>
      <c r="L11"/>
      <c r="M11"/>
      <c r="N11"/>
      <c r="O11"/>
    </row>
    <row r="12" spans="1:16" ht="1.5" customHeight="1" x14ac:dyDescent="0.25">
      <c r="B12" s="83">
        <v>42982</v>
      </c>
      <c r="C12" s="400" t="s">
        <v>85</v>
      </c>
      <c r="D12" s="401"/>
      <c r="E12" s="402"/>
      <c r="L12"/>
      <c r="M12"/>
      <c r="N12"/>
      <c r="O12"/>
      <c r="P12" s="4"/>
    </row>
    <row r="13" spans="1:16" ht="24.75" customHeight="1" x14ac:dyDescent="0.25">
      <c r="C13" s="403"/>
      <c r="D13" s="404"/>
      <c r="E13" s="405"/>
      <c r="L13"/>
      <c r="M13"/>
      <c r="N13"/>
      <c r="O13"/>
    </row>
    <row r="14" spans="1:16" ht="23.25" customHeight="1" thickBot="1" x14ac:dyDescent="0.3">
      <c r="C14" s="406" t="s">
        <v>87</v>
      </c>
      <c r="D14" s="407"/>
      <c r="E14" s="408"/>
      <c r="L14"/>
      <c r="M14"/>
      <c r="N14"/>
      <c r="O14"/>
    </row>
    <row r="15" spans="1:16" ht="3.75" customHeight="1" thickBot="1" x14ac:dyDescent="0.3">
      <c r="C15" s="176"/>
      <c r="D15" s="180"/>
      <c r="E15" s="232" t="str">
        <f>IFERROR((ROUND(E11/(VLOOKUP(D11,item,8,FALSE)),2)),"-")</f>
        <v>-</v>
      </c>
      <c r="L15"/>
      <c r="M15"/>
      <c r="N15"/>
      <c r="O15"/>
    </row>
    <row r="16" spans="1:16" ht="15" customHeight="1" x14ac:dyDescent="0.25">
      <c r="L16"/>
      <c r="M16"/>
      <c r="N16"/>
      <c r="O16"/>
    </row>
    <row r="17" spans="11:15" ht="18" customHeight="1" x14ac:dyDescent="0.25">
      <c r="L17"/>
      <c r="M17"/>
      <c r="N17"/>
      <c r="O17"/>
    </row>
    <row r="18" spans="11:15" ht="21.75" customHeight="1" x14ac:dyDescent="0.25">
      <c r="L18"/>
      <c r="M18"/>
      <c r="N18"/>
      <c r="O18"/>
    </row>
    <row r="19" spans="11:15" ht="4.5" customHeight="1" x14ac:dyDescent="0.25">
      <c r="L19"/>
      <c r="M19"/>
      <c r="N19"/>
      <c r="O19"/>
    </row>
    <row r="20" spans="11:15" ht="4.5" customHeight="1" x14ac:dyDescent="0.25">
      <c r="L20"/>
      <c r="M20"/>
      <c r="N20"/>
      <c r="O20"/>
    </row>
    <row r="21" spans="11:15" ht="7.5" customHeight="1" x14ac:dyDescent="0.25">
      <c r="L21"/>
      <c r="M21"/>
      <c r="N21"/>
      <c r="O21"/>
    </row>
    <row r="22" spans="11:15" ht="7.5" customHeight="1" x14ac:dyDescent="0.25">
      <c r="K22" s="42"/>
      <c r="M22" s="46"/>
      <c r="N22" s="48"/>
      <c r="O22" s="44"/>
    </row>
    <row r="23" spans="11:15" s="5" customFormat="1" ht="6" customHeight="1" x14ac:dyDescent="0.25">
      <c r="L23" s="30"/>
      <c r="M23" s="76"/>
      <c r="N23" s="59"/>
      <c r="O23" s="30"/>
    </row>
    <row r="24" spans="11:15" s="25" customFormat="1" ht="15" x14ac:dyDescent="0.25">
      <c r="L24" s="29"/>
      <c r="M24" s="75"/>
      <c r="N24" s="58"/>
      <c r="O24" s="29"/>
    </row>
    <row r="25" spans="11:15" s="25" customFormat="1" ht="15" x14ac:dyDescent="0.25">
      <c r="L25" s="29"/>
      <c r="M25" s="75"/>
      <c r="N25" s="58"/>
      <c r="O25" s="29"/>
    </row>
    <row r="26" spans="11:15" s="25" customFormat="1" ht="15" x14ac:dyDescent="0.25">
      <c r="L26" s="29"/>
      <c r="M26" s="75"/>
      <c r="N26" s="58"/>
      <c r="O26" s="29"/>
    </row>
    <row r="27" spans="11:15" s="25" customFormat="1" ht="15" x14ac:dyDescent="0.25">
      <c r="L27" s="29"/>
      <c r="M27" s="75"/>
      <c r="N27" s="58"/>
      <c r="O27" s="29"/>
    </row>
    <row r="28" spans="11:15" s="25" customFormat="1" ht="15" x14ac:dyDescent="0.25">
      <c r="L28" s="29"/>
      <c r="M28" s="75"/>
      <c r="N28" s="58"/>
      <c r="O28" s="29"/>
    </row>
    <row r="29" spans="11:15" s="25" customFormat="1" ht="15" x14ac:dyDescent="0.25">
      <c r="L29" s="29"/>
      <c r="M29" s="75"/>
      <c r="N29" s="58"/>
      <c r="O29" s="29"/>
    </row>
    <row r="30" spans="11:15" s="25" customFormat="1" ht="15" x14ac:dyDescent="0.25">
      <c r="L30" s="29"/>
      <c r="M30" s="75"/>
      <c r="N30" s="58"/>
      <c r="O30" s="29"/>
    </row>
    <row r="31" spans="11:15" s="25" customFormat="1" ht="15" x14ac:dyDescent="0.25">
      <c r="L31" s="29"/>
      <c r="M31" s="75"/>
      <c r="N31" s="58"/>
      <c r="O31" s="29"/>
    </row>
    <row r="32" spans="11:15" s="25" customFormat="1" ht="15" hidden="1" x14ac:dyDescent="0.25">
      <c r="L32" s="29"/>
      <c r="M32" s="75"/>
      <c r="N32" s="58"/>
      <c r="O32" s="29"/>
    </row>
    <row r="33" spans="12:15" s="25" customFormat="1" ht="15" hidden="1" x14ac:dyDescent="0.25">
      <c r="L33" s="29"/>
      <c r="M33" s="75"/>
      <c r="N33" s="58"/>
      <c r="O33" s="29"/>
    </row>
    <row r="34" spans="12:15" s="25" customFormat="1" ht="15" hidden="1" x14ac:dyDescent="0.25">
      <c r="L34" s="29"/>
      <c r="M34" s="75"/>
      <c r="N34" s="58"/>
      <c r="O34" s="29"/>
    </row>
    <row r="35" spans="12:15" s="25" customFormat="1" ht="15" hidden="1" x14ac:dyDescent="0.25">
      <c r="L35" s="29"/>
      <c r="M35" s="75"/>
      <c r="N35" s="58"/>
      <c r="O35" s="29"/>
    </row>
    <row r="36" spans="12:15" s="25" customFormat="1" ht="15" hidden="1" x14ac:dyDescent="0.25">
      <c r="L36" s="29"/>
      <c r="M36" s="75"/>
      <c r="N36" s="58"/>
      <c r="O36" s="29"/>
    </row>
    <row r="37" spans="12:15" s="25" customFormat="1" ht="15" hidden="1" x14ac:dyDescent="0.25">
      <c r="L37" s="29"/>
      <c r="M37" s="75"/>
      <c r="N37" s="58"/>
      <c r="O37" s="29"/>
    </row>
    <row r="38" spans="12:15" s="25" customFormat="1" ht="15" hidden="1" x14ac:dyDescent="0.25">
      <c r="L38" s="29"/>
      <c r="M38" s="75"/>
      <c r="N38" s="58"/>
      <c r="O38" s="29"/>
    </row>
    <row r="39" spans="12:15" s="25" customFormat="1" ht="15" hidden="1" x14ac:dyDescent="0.25">
      <c r="L39" s="29"/>
      <c r="M39" s="75"/>
      <c r="N39" s="58"/>
      <c r="O39" s="29"/>
    </row>
    <row r="40" spans="12:15" s="25" customFormat="1" ht="15" hidden="1" x14ac:dyDescent="0.25">
      <c r="L40" s="29"/>
      <c r="M40" s="75"/>
      <c r="N40" s="58"/>
      <c r="O40" s="29"/>
    </row>
    <row r="41" spans="12:15" s="25" customFormat="1" ht="15" hidden="1" x14ac:dyDescent="0.25">
      <c r="L41" s="29"/>
      <c r="M41" s="75"/>
      <c r="N41" s="58"/>
      <c r="O41" s="29"/>
    </row>
    <row r="42" spans="12:15" s="25" customFormat="1" ht="15" hidden="1" x14ac:dyDescent="0.25">
      <c r="L42" s="29"/>
      <c r="M42" s="75"/>
      <c r="N42" s="58"/>
      <c r="O42" s="29"/>
    </row>
    <row r="43" spans="12:15" ht="15" hidden="1" customHeight="1" x14ac:dyDescent="0.25"/>
  </sheetData>
  <mergeCells count="3">
    <mergeCell ref="C12:E13"/>
    <mergeCell ref="C14:E14"/>
    <mergeCell ref="A3:K3"/>
  </mergeCells>
  <dataValidations count="1">
    <dataValidation showInputMessage="1" showErrorMessage="1" sqref="D11" xr:uid="{5388C193-4DCA-4827-BFC1-8BA769F75123}"/>
  </dataValidation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B4D1B-8BEE-4BA6-B493-B9F518B9C5A5}">
  <sheetPr codeName="Planilha11"/>
  <dimension ref="A1:R194"/>
  <sheetViews>
    <sheetView showGridLines="0" showRowColHeaders="0" showZeros="0" topLeftCell="A4" zoomScaleNormal="100" workbookViewId="0">
      <selection activeCell="A12" sqref="A12:XFD12"/>
    </sheetView>
  </sheetViews>
  <sheetFormatPr defaultRowHeight="15" x14ac:dyDescent="0.25"/>
  <cols>
    <col min="1" max="1" width="12.28515625" style="240" customWidth="1"/>
    <col min="2" max="2" width="52.42578125" style="1" bestFit="1" customWidth="1"/>
    <col min="3" max="3" width="9.7109375" style="246" bestFit="1" customWidth="1"/>
    <col min="4" max="4" width="5.5703125" style="63" customWidth="1"/>
    <col min="5" max="5" width="13.140625" style="66" customWidth="1"/>
    <col min="6" max="6" width="22.85546875" customWidth="1"/>
    <col min="7" max="7" width="20.7109375" customWidth="1"/>
  </cols>
  <sheetData>
    <row r="1" spans="1:18" s="25" customFormat="1" x14ac:dyDescent="0.25">
      <c r="A1" s="235"/>
      <c r="B1" s="29"/>
      <c r="C1" s="241"/>
      <c r="D1" s="58"/>
      <c r="E1" s="67"/>
    </row>
    <row r="2" spans="1:18" s="25" customFormat="1" x14ac:dyDescent="0.25">
      <c r="A2" s="235"/>
      <c r="B2" s="29"/>
      <c r="C2" s="241"/>
      <c r="D2" s="58"/>
      <c r="E2" s="67"/>
    </row>
    <row r="3" spans="1:18" s="25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26"/>
      <c r="Q3" s="26"/>
      <c r="R3" s="26"/>
    </row>
    <row r="4" spans="1:18" s="5" customFormat="1" ht="6" customHeight="1" x14ac:dyDescent="0.25">
      <c r="A4" s="236"/>
      <c r="B4" s="30"/>
      <c r="C4" s="242"/>
      <c r="D4" s="59"/>
      <c r="E4" s="68"/>
    </row>
    <row r="5" spans="1:18" s="2" customFormat="1" x14ac:dyDescent="0.25">
      <c r="A5" s="237"/>
      <c r="B5" s="31"/>
      <c r="C5" s="243"/>
      <c r="D5" s="60"/>
      <c r="E5" s="69"/>
    </row>
    <row r="6" spans="1:18" s="2" customFormat="1" x14ac:dyDescent="0.25">
      <c r="A6" s="237"/>
      <c r="B6" s="31"/>
      <c r="C6" s="243"/>
      <c r="D6" s="60"/>
      <c r="E6" s="69"/>
    </row>
    <row r="7" spans="1:18" s="2" customFormat="1" x14ac:dyDescent="0.25">
      <c r="A7" s="237"/>
      <c r="B7" s="31"/>
      <c r="C7" s="243"/>
      <c r="D7" s="60"/>
      <c r="E7" s="69"/>
    </row>
    <row r="8" spans="1:18" s="3" customFormat="1" x14ac:dyDescent="0.25">
      <c r="A8" s="238"/>
      <c r="B8" s="32"/>
      <c r="C8" s="244"/>
      <c r="D8" s="61"/>
      <c r="E8" s="70"/>
    </row>
    <row r="9" spans="1:18" x14ac:dyDescent="0.25">
      <c r="A9" s="239" t="s">
        <v>54</v>
      </c>
      <c r="B9" s="197">
        <v>12</v>
      </c>
      <c r="C9" s="245"/>
      <c r="D9" s="198"/>
      <c r="E9" s="199"/>
      <c r="F9" s="56" t="s">
        <v>55</v>
      </c>
      <c r="G9" s="56"/>
      <c r="H9" s="56"/>
    </row>
    <row r="10" spans="1:18" x14ac:dyDescent="0.25">
      <c r="A10" s="240">
        <v>42972</v>
      </c>
      <c r="B10" s="1" t="s">
        <v>100</v>
      </c>
      <c r="C10" s="246">
        <v>1.5</v>
      </c>
      <c r="D10" s="62"/>
      <c r="E10" s="73"/>
    </row>
    <row r="11" spans="1:18" x14ac:dyDescent="0.25">
      <c r="A11" s="240">
        <v>42989</v>
      </c>
      <c r="B11" s="1" t="s">
        <v>65</v>
      </c>
      <c r="C11" s="246">
        <v>9</v>
      </c>
      <c r="D11" s="62"/>
      <c r="E11" s="80"/>
    </row>
    <row r="12" spans="1:18" x14ac:dyDescent="0.25">
      <c r="D12" s="62"/>
      <c r="E12" s="73"/>
    </row>
    <row r="13" spans="1:18" x14ac:dyDescent="0.25">
      <c r="D13" s="62"/>
      <c r="E13" s="73"/>
    </row>
    <row r="14" spans="1:18" x14ac:dyDescent="0.25">
      <c r="D14" s="62"/>
      <c r="E14" s="73"/>
    </row>
    <row r="15" spans="1:18" x14ac:dyDescent="0.25">
      <c r="D15" s="62"/>
      <c r="E15" s="73"/>
    </row>
    <row r="16" spans="1:18" x14ac:dyDescent="0.25">
      <c r="D16" s="62"/>
      <c r="E16" s="73"/>
    </row>
    <row r="17" spans="4:5" x14ac:dyDescent="0.25">
      <c r="D17" s="62"/>
      <c r="E17" s="73"/>
    </row>
    <row r="18" spans="4:5" x14ac:dyDescent="0.25">
      <c r="D18" s="62"/>
      <c r="E18" s="73"/>
    </row>
    <row r="19" spans="4:5" x14ac:dyDescent="0.25">
      <c r="D19" s="62"/>
      <c r="E19" s="73"/>
    </row>
    <row r="20" spans="4:5" x14ac:dyDescent="0.25">
      <c r="D20" s="62"/>
      <c r="E20" s="73"/>
    </row>
    <row r="21" spans="4:5" x14ac:dyDescent="0.25">
      <c r="D21" s="62"/>
      <c r="E21" s="73"/>
    </row>
    <row r="22" spans="4:5" x14ac:dyDescent="0.25">
      <c r="D22" s="62"/>
      <c r="E22" s="73"/>
    </row>
    <row r="23" spans="4:5" x14ac:dyDescent="0.25">
      <c r="D23" s="62"/>
      <c r="E23" s="73"/>
    </row>
    <row r="24" spans="4:5" x14ac:dyDescent="0.25">
      <c r="D24" s="62"/>
      <c r="E24" s="73"/>
    </row>
    <row r="25" spans="4:5" x14ac:dyDescent="0.25">
      <c r="D25" s="62"/>
      <c r="E25" s="72"/>
    </row>
    <row r="26" spans="4:5" x14ac:dyDescent="0.25">
      <c r="D26" s="62"/>
      <c r="E26" s="73"/>
    </row>
    <row r="27" spans="4:5" x14ac:dyDescent="0.25">
      <c r="D27" s="62"/>
      <c r="E27" s="73"/>
    </row>
    <row r="28" spans="4:5" x14ac:dyDescent="0.25">
      <c r="D28" s="62"/>
      <c r="E28" s="73"/>
    </row>
    <row r="29" spans="4:5" x14ac:dyDescent="0.25">
      <c r="D29" s="62"/>
      <c r="E29" s="73"/>
    </row>
    <row r="30" spans="4:5" x14ac:dyDescent="0.25">
      <c r="D30" s="62"/>
      <c r="E30" s="73"/>
    </row>
    <row r="31" spans="4:5" x14ac:dyDescent="0.25">
      <c r="D31" s="62"/>
      <c r="E31" s="73"/>
    </row>
    <row r="32" spans="4:5" x14ac:dyDescent="0.25">
      <c r="D32" s="62"/>
      <c r="E32" s="73"/>
    </row>
    <row r="33" spans="4:5" x14ac:dyDescent="0.25">
      <c r="D33" s="62"/>
      <c r="E33" s="73"/>
    </row>
    <row r="34" spans="4:5" x14ac:dyDescent="0.25">
      <c r="D34" s="62"/>
      <c r="E34" s="73"/>
    </row>
    <row r="35" spans="4:5" x14ac:dyDescent="0.25">
      <c r="D35" s="62"/>
      <c r="E35" s="73"/>
    </row>
    <row r="36" spans="4:5" x14ac:dyDescent="0.25">
      <c r="D36" s="62"/>
      <c r="E36" s="73"/>
    </row>
    <row r="37" spans="4:5" x14ac:dyDescent="0.25">
      <c r="E37" s="73"/>
    </row>
    <row r="38" spans="4:5" x14ac:dyDescent="0.25">
      <c r="E38" s="73"/>
    </row>
    <row r="39" spans="4:5" x14ac:dyDescent="0.25">
      <c r="E39" s="72"/>
    </row>
    <row r="40" spans="4:5" x14ac:dyDescent="0.25">
      <c r="E40" s="73"/>
    </row>
    <row r="41" spans="4:5" x14ac:dyDescent="0.25">
      <c r="E41" s="73"/>
    </row>
    <row r="42" spans="4:5" x14ac:dyDescent="0.25">
      <c r="E42" s="73"/>
    </row>
    <row r="43" spans="4:5" x14ac:dyDescent="0.25">
      <c r="E43" s="73"/>
    </row>
    <row r="44" spans="4:5" x14ac:dyDescent="0.25">
      <c r="E44" s="73"/>
    </row>
    <row r="45" spans="4:5" x14ac:dyDescent="0.25">
      <c r="E45" s="73"/>
    </row>
    <row r="46" spans="4:5" x14ac:dyDescent="0.25">
      <c r="E46" s="73"/>
    </row>
    <row r="47" spans="4:5" x14ac:dyDescent="0.25">
      <c r="E47" s="73"/>
    </row>
    <row r="48" spans="4:5" x14ac:dyDescent="0.25">
      <c r="E48" s="73"/>
    </row>
    <row r="49" spans="5:5" x14ac:dyDescent="0.25">
      <c r="E49" s="73"/>
    </row>
    <row r="50" spans="5:5" x14ac:dyDescent="0.25">
      <c r="E50" s="73"/>
    </row>
    <row r="51" spans="5:5" x14ac:dyDescent="0.25">
      <c r="E51" s="73"/>
    </row>
    <row r="52" spans="5:5" x14ac:dyDescent="0.25">
      <c r="E52" s="73"/>
    </row>
    <row r="53" spans="5:5" x14ac:dyDescent="0.25">
      <c r="E53" s="72"/>
    </row>
    <row r="54" spans="5:5" x14ac:dyDescent="0.25">
      <c r="E54" s="73"/>
    </row>
    <row r="55" spans="5:5" x14ac:dyDescent="0.25">
      <c r="E55" s="73"/>
    </row>
    <row r="56" spans="5:5" x14ac:dyDescent="0.25">
      <c r="E56" s="73"/>
    </row>
    <row r="57" spans="5:5" x14ac:dyDescent="0.25">
      <c r="E57" s="73"/>
    </row>
    <row r="58" spans="5:5" x14ac:dyDescent="0.25">
      <c r="E58" s="73"/>
    </row>
    <row r="59" spans="5:5" x14ac:dyDescent="0.25">
      <c r="E59" s="73"/>
    </row>
    <row r="60" spans="5:5" x14ac:dyDescent="0.25">
      <c r="E60" s="73"/>
    </row>
    <row r="61" spans="5:5" x14ac:dyDescent="0.25">
      <c r="E61" s="73"/>
    </row>
    <row r="62" spans="5:5" x14ac:dyDescent="0.25">
      <c r="E62" s="73"/>
    </row>
    <row r="63" spans="5:5" x14ac:dyDescent="0.25">
      <c r="E63" s="73"/>
    </row>
    <row r="64" spans="5:5" x14ac:dyDescent="0.25">
      <c r="E64" s="73"/>
    </row>
    <row r="65" spans="5:5" x14ac:dyDescent="0.25">
      <c r="E65" s="73"/>
    </row>
    <row r="66" spans="5:5" x14ac:dyDescent="0.25">
      <c r="E66" s="73"/>
    </row>
    <row r="67" spans="5:5" x14ac:dyDescent="0.25">
      <c r="E67" s="72"/>
    </row>
    <row r="68" spans="5:5" x14ac:dyDescent="0.25">
      <c r="E68" s="73"/>
    </row>
    <row r="69" spans="5:5" x14ac:dyDescent="0.25">
      <c r="E69" s="73"/>
    </row>
    <row r="70" spans="5:5" x14ac:dyDescent="0.25">
      <c r="E70" s="73"/>
    </row>
    <row r="71" spans="5:5" x14ac:dyDescent="0.25">
      <c r="E71" s="73"/>
    </row>
    <row r="72" spans="5:5" x14ac:dyDescent="0.25">
      <c r="E72" s="73"/>
    </row>
    <row r="73" spans="5:5" x14ac:dyDescent="0.25">
      <c r="E73" s="73"/>
    </row>
    <row r="74" spans="5:5" x14ac:dyDescent="0.25">
      <c r="E74" s="73"/>
    </row>
    <row r="75" spans="5:5" x14ac:dyDescent="0.25">
      <c r="E75" s="73"/>
    </row>
    <row r="76" spans="5:5" x14ac:dyDescent="0.25">
      <c r="E76" s="73"/>
    </row>
    <row r="77" spans="5:5" x14ac:dyDescent="0.25">
      <c r="E77" s="73"/>
    </row>
    <row r="78" spans="5:5" x14ac:dyDescent="0.25">
      <c r="E78" s="73"/>
    </row>
    <row r="79" spans="5:5" x14ac:dyDescent="0.25">
      <c r="E79" s="73"/>
    </row>
    <row r="80" spans="5:5" x14ac:dyDescent="0.25">
      <c r="E80" s="73"/>
    </row>
    <row r="81" spans="5:5" x14ac:dyDescent="0.25">
      <c r="E81" s="72"/>
    </row>
    <row r="82" spans="5:5" x14ac:dyDescent="0.25">
      <c r="E82" s="73"/>
    </row>
    <row r="83" spans="5:5" x14ac:dyDescent="0.25">
      <c r="E83" s="73"/>
    </row>
    <row r="84" spans="5:5" x14ac:dyDescent="0.25">
      <c r="E84" s="73"/>
    </row>
    <row r="85" spans="5:5" x14ac:dyDescent="0.25">
      <c r="E85" s="73"/>
    </row>
    <row r="86" spans="5:5" x14ac:dyDescent="0.25">
      <c r="E86" s="73"/>
    </row>
    <row r="87" spans="5:5" x14ac:dyDescent="0.25">
      <c r="E87" s="73"/>
    </row>
    <row r="88" spans="5:5" x14ac:dyDescent="0.25">
      <c r="E88" s="73"/>
    </row>
    <row r="89" spans="5:5" x14ac:dyDescent="0.25">
      <c r="E89" s="73"/>
    </row>
    <row r="90" spans="5:5" x14ac:dyDescent="0.25">
      <c r="E90" s="73"/>
    </row>
    <row r="91" spans="5:5" x14ac:dyDescent="0.25">
      <c r="E91" s="73"/>
    </row>
    <row r="92" spans="5:5" x14ac:dyDescent="0.25">
      <c r="E92" s="73"/>
    </row>
    <row r="93" spans="5:5" x14ac:dyDescent="0.25">
      <c r="E93" s="73"/>
    </row>
    <row r="94" spans="5:5" x14ac:dyDescent="0.25">
      <c r="E94" s="73"/>
    </row>
    <row r="95" spans="5:5" x14ac:dyDescent="0.25">
      <c r="E95" s="72"/>
    </row>
    <row r="96" spans="5:5" x14ac:dyDescent="0.25">
      <c r="E96" s="73"/>
    </row>
    <row r="97" spans="5:5" x14ac:dyDescent="0.25">
      <c r="E97" s="73"/>
    </row>
    <row r="98" spans="5:5" x14ac:dyDescent="0.25">
      <c r="E98" s="73"/>
    </row>
    <row r="99" spans="5:5" x14ac:dyDescent="0.25">
      <c r="E99" s="73"/>
    </row>
    <row r="100" spans="5:5" x14ac:dyDescent="0.25">
      <c r="E100" s="73"/>
    </row>
    <row r="101" spans="5:5" x14ac:dyDescent="0.25">
      <c r="E101" s="73"/>
    </row>
    <row r="102" spans="5:5" x14ac:dyDescent="0.25">
      <c r="E102" s="73"/>
    </row>
    <row r="103" spans="5:5" x14ac:dyDescent="0.25">
      <c r="E103" s="73"/>
    </row>
    <row r="104" spans="5:5" x14ac:dyDescent="0.25">
      <c r="E104" s="73"/>
    </row>
    <row r="105" spans="5:5" x14ac:dyDescent="0.25">
      <c r="E105" s="73"/>
    </row>
    <row r="106" spans="5:5" x14ac:dyDescent="0.25">
      <c r="E106" s="73"/>
    </row>
    <row r="107" spans="5:5" x14ac:dyDescent="0.25">
      <c r="E107" s="73"/>
    </row>
    <row r="108" spans="5:5" x14ac:dyDescent="0.25">
      <c r="E108" s="73"/>
    </row>
    <row r="109" spans="5:5" x14ac:dyDescent="0.25">
      <c r="E109" s="72"/>
    </row>
    <row r="110" spans="5:5" x14ac:dyDescent="0.25">
      <c r="E110" s="73"/>
    </row>
    <row r="111" spans="5:5" x14ac:dyDescent="0.25">
      <c r="E111" s="73"/>
    </row>
    <row r="112" spans="5:5" x14ac:dyDescent="0.25">
      <c r="E112" s="73"/>
    </row>
    <row r="113" spans="5:5" x14ac:dyDescent="0.25">
      <c r="E113" s="73"/>
    </row>
    <row r="114" spans="5:5" x14ac:dyDescent="0.25">
      <c r="E114" s="73"/>
    </row>
    <row r="115" spans="5:5" x14ac:dyDescent="0.25">
      <c r="E115" s="73"/>
    </row>
    <row r="116" spans="5:5" x14ac:dyDescent="0.25">
      <c r="E116" s="73"/>
    </row>
    <row r="117" spans="5:5" x14ac:dyDescent="0.25">
      <c r="E117" s="73"/>
    </row>
    <row r="118" spans="5:5" x14ac:dyDescent="0.25">
      <c r="E118" s="73"/>
    </row>
    <row r="119" spans="5:5" x14ac:dyDescent="0.25">
      <c r="E119" s="73"/>
    </row>
    <row r="120" spans="5:5" x14ac:dyDescent="0.25">
      <c r="E120" s="73"/>
    </row>
    <row r="121" spans="5:5" x14ac:dyDescent="0.25">
      <c r="E121" s="73"/>
    </row>
    <row r="122" spans="5:5" x14ac:dyDescent="0.25">
      <c r="E122" s="73"/>
    </row>
    <row r="123" spans="5:5" x14ac:dyDescent="0.25">
      <c r="E123" s="72"/>
    </row>
    <row r="124" spans="5:5" x14ac:dyDescent="0.25">
      <c r="E124" s="73"/>
    </row>
    <row r="125" spans="5:5" x14ac:dyDescent="0.25">
      <c r="E125" s="73"/>
    </row>
    <row r="126" spans="5:5" x14ac:dyDescent="0.25">
      <c r="E126" s="73"/>
    </row>
    <row r="127" spans="5:5" x14ac:dyDescent="0.25">
      <c r="E127" s="73"/>
    </row>
    <row r="128" spans="5:5" x14ac:dyDescent="0.25">
      <c r="E128" s="73"/>
    </row>
    <row r="129" spans="5:5" x14ac:dyDescent="0.25">
      <c r="E129" s="73"/>
    </row>
    <row r="130" spans="5:5" x14ac:dyDescent="0.25">
      <c r="E130" s="73"/>
    </row>
    <row r="131" spans="5:5" x14ac:dyDescent="0.25">
      <c r="E131" s="73"/>
    </row>
    <row r="132" spans="5:5" x14ac:dyDescent="0.25">
      <c r="E132" s="73"/>
    </row>
    <row r="133" spans="5:5" x14ac:dyDescent="0.25">
      <c r="E133" s="73"/>
    </row>
    <row r="134" spans="5:5" x14ac:dyDescent="0.25">
      <c r="E134" s="73"/>
    </row>
    <row r="135" spans="5:5" x14ac:dyDescent="0.25">
      <c r="E135" s="73"/>
    </row>
    <row r="136" spans="5:5" x14ac:dyDescent="0.25">
      <c r="E136" s="73"/>
    </row>
    <row r="137" spans="5:5" x14ac:dyDescent="0.25">
      <c r="E137" s="72"/>
    </row>
    <row r="138" spans="5:5" x14ac:dyDescent="0.25">
      <c r="E138" s="73"/>
    </row>
    <row r="139" spans="5:5" x14ac:dyDescent="0.25">
      <c r="E139" s="73"/>
    </row>
    <row r="140" spans="5:5" x14ac:dyDescent="0.25">
      <c r="E140" s="73"/>
    </row>
    <row r="141" spans="5:5" x14ac:dyDescent="0.25">
      <c r="E141" s="73"/>
    </row>
    <row r="142" spans="5:5" x14ac:dyDescent="0.25">
      <c r="E142" s="73"/>
    </row>
    <row r="143" spans="5:5" x14ac:dyDescent="0.25">
      <c r="E143" s="73"/>
    </row>
    <row r="144" spans="5:5" x14ac:dyDescent="0.25">
      <c r="E144" s="73"/>
    </row>
    <row r="145" spans="5:5" x14ac:dyDescent="0.25">
      <c r="E145" s="73"/>
    </row>
    <row r="146" spans="5:5" x14ac:dyDescent="0.25">
      <c r="E146" s="73"/>
    </row>
    <row r="147" spans="5:5" x14ac:dyDescent="0.25">
      <c r="E147" s="73"/>
    </row>
    <row r="148" spans="5:5" x14ac:dyDescent="0.25">
      <c r="E148" s="73"/>
    </row>
    <row r="149" spans="5:5" x14ac:dyDescent="0.25">
      <c r="E149" s="73"/>
    </row>
    <row r="150" spans="5:5" x14ac:dyDescent="0.25">
      <c r="E150" s="73"/>
    </row>
    <row r="151" spans="5:5" x14ac:dyDescent="0.25">
      <c r="E151" s="72"/>
    </row>
    <row r="152" spans="5:5" x14ac:dyDescent="0.25">
      <c r="E152" s="73"/>
    </row>
    <row r="153" spans="5:5" x14ac:dyDescent="0.25">
      <c r="E153" s="73"/>
    </row>
    <row r="154" spans="5:5" x14ac:dyDescent="0.25">
      <c r="E154" s="73"/>
    </row>
    <row r="155" spans="5:5" x14ac:dyDescent="0.25">
      <c r="E155" s="72"/>
    </row>
    <row r="156" spans="5:5" x14ac:dyDescent="0.25">
      <c r="E156" s="73"/>
    </row>
    <row r="157" spans="5:5" x14ac:dyDescent="0.25">
      <c r="E157" s="73"/>
    </row>
    <row r="158" spans="5:5" x14ac:dyDescent="0.25">
      <c r="E158" s="72"/>
    </row>
    <row r="159" spans="5:5" x14ac:dyDescent="0.25">
      <c r="E159" s="73"/>
    </row>
    <row r="160" spans="5:5" x14ac:dyDescent="0.25">
      <c r="E160" s="72"/>
    </row>
    <row r="161" spans="5:5" x14ac:dyDescent="0.25">
      <c r="E161" s="73"/>
    </row>
    <row r="162" spans="5:5" x14ac:dyDescent="0.25">
      <c r="E162" s="72"/>
    </row>
    <row r="163" spans="5:5" x14ac:dyDescent="0.25">
      <c r="E163" s="73"/>
    </row>
    <row r="164" spans="5:5" x14ac:dyDescent="0.25">
      <c r="E164" s="72"/>
    </row>
    <row r="165" spans="5:5" x14ac:dyDescent="0.25">
      <c r="E165" s="73"/>
    </row>
    <row r="166" spans="5:5" x14ac:dyDescent="0.25">
      <c r="E166" s="72"/>
    </row>
    <row r="167" spans="5:5" x14ac:dyDescent="0.25">
      <c r="E167" s="73"/>
    </row>
    <row r="168" spans="5:5" x14ac:dyDescent="0.25">
      <c r="E168" s="72"/>
    </row>
    <row r="169" spans="5:5" x14ac:dyDescent="0.25">
      <c r="E169" s="73"/>
    </row>
    <row r="170" spans="5:5" x14ac:dyDescent="0.25">
      <c r="E170" s="72"/>
    </row>
    <row r="171" spans="5:5" x14ac:dyDescent="0.25">
      <c r="E171" s="73"/>
    </row>
    <row r="172" spans="5:5" x14ac:dyDescent="0.25">
      <c r="E172" s="73"/>
    </row>
    <row r="173" spans="5:5" x14ac:dyDescent="0.25">
      <c r="E173" s="73"/>
    </row>
    <row r="174" spans="5:5" x14ac:dyDescent="0.25">
      <c r="E174" s="73"/>
    </row>
    <row r="175" spans="5:5" x14ac:dyDescent="0.25">
      <c r="E175" s="73"/>
    </row>
    <row r="176" spans="5:5" x14ac:dyDescent="0.25">
      <c r="E176" s="73"/>
    </row>
    <row r="177" spans="5:6" x14ac:dyDescent="0.25">
      <c r="E177" s="73"/>
    </row>
    <row r="178" spans="5:6" x14ac:dyDescent="0.25">
      <c r="E178" s="73"/>
    </row>
    <row r="179" spans="5:6" x14ac:dyDescent="0.25">
      <c r="E179" s="73"/>
    </row>
    <row r="180" spans="5:6" x14ac:dyDescent="0.25">
      <c r="E180" s="73"/>
    </row>
    <row r="181" spans="5:6" x14ac:dyDescent="0.25">
      <c r="E181" s="73"/>
    </row>
    <row r="182" spans="5:6" x14ac:dyDescent="0.25">
      <c r="E182" s="73"/>
    </row>
    <row r="183" spans="5:6" x14ac:dyDescent="0.25">
      <c r="E183" s="73"/>
    </row>
    <row r="184" spans="5:6" x14ac:dyDescent="0.25">
      <c r="E184" s="72"/>
      <c r="F184" s="72"/>
    </row>
    <row r="185" spans="5:6" x14ac:dyDescent="0.25">
      <c r="E185" s="73"/>
      <c r="F185" s="72"/>
    </row>
    <row r="186" spans="5:6" x14ac:dyDescent="0.25">
      <c r="E186" s="73"/>
      <c r="F186" s="72"/>
    </row>
    <row r="187" spans="5:6" x14ac:dyDescent="0.25">
      <c r="E187" s="72"/>
      <c r="F187" s="72"/>
    </row>
    <row r="188" spans="5:6" ht="15.75" x14ac:dyDescent="0.25">
      <c r="E188" s="226"/>
      <c r="F188" s="72"/>
    </row>
    <row r="189" spans="5:6" x14ac:dyDescent="0.25">
      <c r="E189" s="72"/>
      <c r="F189" s="72"/>
    </row>
    <row r="190" spans="5:6" x14ac:dyDescent="0.25">
      <c r="E190" s="73"/>
    </row>
    <row r="191" spans="5:6" x14ac:dyDescent="0.25">
      <c r="E191" s="72"/>
    </row>
    <row r="192" spans="5:6" x14ac:dyDescent="0.25">
      <c r="E192" s="73"/>
    </row>
    <row r="193" spans="5:5" x14ac:dyDescent="0.25">
      <c r="E193" s="72"/>
    </row>
    <row r="194" spans="5:5" x14ac:dyDescent="0.25">
      <c r="E194" s="73"/>
    </row>
  </sheetData>
  <mergeCells count="1">
    <mergeCell ref="A3:O3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Fluxo_de_Caixa">
    <pageSetUpPr autoPageBreaks="0"/>
  </sheetPr>
  <dimension ref="A1:S42"/>
  <sheetViews>
    <sheetView showGridLines="0" showRowColHeaders="0" showZeros="0" zoomScaleNormal="100" workbookViewId="0">
      <selection activeCell="E12" sqref="E12:F12"/>
    </sheetView>
  </sheetViews>
  <sheetFormatPr defaultColWidth="0" defaultRowHeight="0" customHeight="1" zeroHeight="1" x14ac:dyDescent="0.25"/>
  <cols>
    <col min="1" max="1" width="23.28515625" customWidth="1"/>
    <col min="2" max="2" width="18.42578125" customWidth="1"/>
    <col min="3" max="3" width="18.85546875" customWidth="1"/>
    <col min="4" max="4" width="34.85546875" customWidth="1"/>
    <col min="5" max="10" width="11.42578125" customWidth="1"/>
    <col min="11" max="11" width="3.85546875" customWidth="1"/>
    <col min="12" max="12" width="2.85546875" customWidth="1"/>
    <col min="13" max="13" width="10.7109375" style="1" customWidth="1"/>
    <col min="14" max="14" width="8" style="79" customWidth="1"/>
    <col min="15" max="15" width="5.7109375" style="62" customWidth="1"/>
    <col min="16" max="16" width="12.42578125" style="1" customWidth="1"/>
    <col min="17" max="17" width="2.28515625" customWidth="1"/>
    <col min="18" max="19" width="0" hidden="1" customWidth="1"/>
    <col min="20" max="16384" width="9.140625" hidden="1"/>
  </cols>
  <sheetData>
    <row r="1" spans="1:17" s="25" customFormat="1" ht="15" x14ac:dyDescent="0.25">
      <c r="A1" s="173">
        <f ca="1">TODAY()</f>
        <v>43160</v>
      </c>
      <c r="B1" s="225">
        <v>0</v>
      </c>
      <c r="M1" s="29"/>
      <c r="N1" s="75"/>
      <c r="O1" s="58"/>
      <c r="P1" s="29"/>
    </row>
    <row r="2" spans="1:17" s="25" customFormat="1" ht="15" x14ac:dyDescent="0.25">
      <c r="B2" s="170"/>
      <c r="M2" s="29"/>
      <c r="N2" s="75"/>
      <c r="O2" s="58"/>
      <c r="P2" s="29"/>
    </row>
    <row r="3" spans="1:17" s="223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26"/>
      <c r="O3" s="26"/>
      <c r="P3" s="26"/>
      <c r="Q3" s="26"/>
    </row>
    <row r="4" spans="1:17" s="5" customFormat="1" ht="6" customHeight="1" x14ac:dyDescent="0.25">
      <c r="M4" s="30"/>
      <c r="N4" s="76"/>
      <c r="O4" s="59"/>
      <c r="P4" s="30"/>
    </row>
    <row r="5" spans="1:17" s="2" customFormat="1" ht="15" x14ac:dyDescent="0.25">
      <c r="M5" s="31"/>
      <c r="N5" s="77"/>
      <c r="O5" s="60"/>
      <c r="P5" s="31"/>
    </row>
    <row r="6" spans="1:17" s="2" customFormat="1" ht="15" x14ac:dyDescent="0.25">
      <c r="M6" s="31"/>
      <c r="N6" s="77"/>
      <c r="O6" s="60"/>
      <c r="P6" s="31"/>
    </row>
    <row r="7" spans="1:17" s="2" customFormat="1" ht="15" x14ac:dyDescent="0.25">
      <c r="M7" s="31"/>
      <c r="N7" s="77"/>
      <c r="O7" s="60"/>
      <c r="P7" s="31"/>
    </row>
    <row r="8" spans="1:17" s="3" customFormat="1" ht="30.75" customHeight="1" x14ac:dyDescent="0.25">
      <c r="M8" s="32"/>
      <c r="N8" s="78"/>
      <c r="O8" s="61"/>
      <c r="P8" s="32"/>
    </row>
    <row r="9" spans="1:17" ht="28.5" customHeight="1" thickBot="1" x14ac:dyDescent="0.3">
      <c r="C9" s="84"/>
      <c r="D9" s="84"/>
      <c r="M9"/>
      <c r="N9"/>
      <c r="O9"/>
      <c r="P9"/>
    </row>
    <row r="10" spans="1:17" ht="27.75" customHeight="1" thickBot="1" x14ac:dyDescent="0.3">
      <c r="B10" s="370" t="s">
        <v>86</v>
      </c>
      <c r="C10" s="371"/>
      <c r="D10" s="171" t="s">
        <v>96</v>
      </c>
      <c r="E10" s="372" t="s">
        <v>95</v>
      </c>
      <c r="F10" s="409"/>
      <c r="G10" s="409"/>
      <c r="H10" s="409"/>
      <c r="I10" s="409"/>
      <c r="J10" s="410"/>
      <c r="M10"/>
      <c r="N10"/>
      <c r="O10"/>
      <c r="P10"/>
    </row>
    <row r="11" spans="1:17" ht="16.5" thickBot="1" x14ac:dyDescent="0.3">
      <c r="B11" s="361" t="s">
        <v>81</v>
      </c>
      <c r="C11" s="362"/>
      <c r="D11" s="224"/>
      <c r="E11" s="361" t="s">
        <v>101</v>
      </c>
      <c r="F11" s="362"/>
      <c r="G11" s="361" t="s">
        <v>102</v>
      </c>
      <c r="H11" s="362"/>
      <c r="I11" s="361" t="s">
        <v>103</v>
      </c>
      <c r="J11" s="362"/>
      <c r="L11" s="83"/>
      <c r="M11"/>
      <c r="N11"/>
      <c r="O11"/>
      <c r="P11"/>
    </row>
    <row r="12" spans="1:17" ht="45" customHeight="1" thickBot="1" x14ac:dyDescent="0.3">
      <c r="B12" s="184">
        <v>43160</v>
      </c>
      <c r="C12" s="185">
        <v>43160</v>
      </c>
      <c r="D12" s="227">
        <v>20062.099999999999</v>
      </c>
      <c r="E12" s="416">
        <v>22.5</v>
      </c>
      <c r="F12" s="417"/>
      <c r="G12" s="418">
        <v>0</v>
      </c>
      <c r="H12" s="419"/>
      <c r="I12" s="420">
        <v>0</v>
      </c>
      <c r="J12" s="421"/>
      <c r="M12"/>
      <c r="N12"/>
      <c r="O12"/>
      <c r="P12"/>
    </row>
    <row r="13" spans="1:17" ht="15" customHeight="1" x14ac:dyDescent="0.25">
      <c r="B13" s="375" t="s">
        <v>85</v>
      </c>
      <c r="C13" s="411"/>
      <c r="D13" s="411"/>
      <c r="E13" s="411"/>
      <c r="F13" s="411"/>
      <c r="G13" s="411"/>
      <c r="H13" s="411"/>
      <c r="I13" s="411"/>
      <c r="J13" s="376"/>
      <c r="M13"/>
      <c r="N13"/>
      <c r="O13"/>
      <c r="P13"/>
      <c r="Q13" s="4"/>
    </row>
    <row r="14" spans="1:17" ht="15" customHeight="1" x14ac:dyDescent="0.25">
      <c r="B14" s="377"/>
      <c r="C14" s="412"/>
      <c r="D14" s="412"/>
      <c r="E14" s="412"/>
      <c r="F14" s="412"/>
      <c r="G14" s="412"/>
      <c r="H14" s="412"/>
      <c r="I14" s="412"/>
      <c r="J14" s="378"/>
      <c r="M14"/>
      <c r="N14"/>
      <c r="O14"/>
      <c r="P14"/>
    </row>
    <row r="15" spans="1:17" ht="23.25" customHeight="1" thickBot="1" x14ac:dyDescent="0.3">
      <c r="B15" s="413" t="s">
        <v>87</v>
      </c>
      <c r="C15" s="414"/>
      <c r="D15" s="414"/>
      <c r="E15" s="414"/>
      <c r="F15" s="414"/>
      <c r="G15" s="414"/>
      <c r="H15" s="414"/>
      <c r="I15" s="414"/>
      <c r="J15" s="415"/>
      <c r="M15"/>
      <c r="N15"/>
      <c r="O15"/>
      <c r="P15"/>
    </row>
    <row r="16" spans="1:17" ht="3.75" customHeight="1" thickBot="1" x14ac:dyDescent="0.3">
      <c r="B16" s="248"/>
      <c r="C16" s="249"/>
      <c r="D16" s="249"/>
      <c r="E16" s="250"/>
      <c r="F16" s="251"/>
      <c r="G16" s="251"/>
      <c r="H16" s="251"/>
      <c r="I16" s="251"/>
      <c r="J16" s="251"/>
      <c r="M16"/>
      <c r="N16"/>
      <c r="O16"/>
      <c r="P16"/>
    </row>
    <row r="17" spans="3:16" ht="15" customHeight="1" x14ac:dyDescent="0.25">
      <c r="M17"/>
      <c r="N17"/>
      <c r="O17"/>
      <c r="P17"/>
    </row>
    <row r="18" spans="3:16" ht="15" customHeight="1" x14ac:dyDescent="0.25">
      <c r="M18"/>
      <c r="N18"/>
      <c r="O18"/>
      <c r="P18"/>
    </row>
    <row r="19" spans="3:16" ht="15" customHeight="1" x14ac:dyDescent="0.25">
      <c r="M19"/>
      <c r="N19"/>
      <c r="O19"/>
      <c r="P19"/>
    </row>
    <row r="20" spans="3:16" ht="15" customHeight="1" x14ac:dyDescent="0.25">
      <c r="M20"/>
      <c r="N20"/>
      <c r="O20"/>
      <c r="P20"/>
    </row>
    <row r="21" spans="3:16" ht="15" customHeight="1" x14ac:dyDescent="0.25">
      <c r="C21" s="20"/>
      <c r="L21" s="42"/>
      <c r="N21" s="46"/>
      <c r="O21" s="48"/>
      <c r="P21" s="44"/>
    </row>
    <row r="22" spans="3:16" s="5" customFormat="1" ht="6" customHeight="1" x14ac:dyDescent="0.25">
      <c r="M22" s="30"/>
      <c r="N22" s="76"/>
      <c r="O22" s="59"/>
      <c r="P22" s="30"/>
    </row>
    <row r="23" spans="3:16" s="25" customFormat="1" ht="15" x14ac:dyDescent="0.25">
      <c r="M23" s="29"/>
      <c r="N23" s="75"/>
      <c r="O23" s="58"/>
      <c r="P23" s="29"/>
    </row>
    <row r="24" spans="3:16" s="25" customFormat="1" ht="15" x14ac:dyDescent="0.25">
      <c r="M24" s="29"/>
      <c r="N24" s="75"/>
      <c r="O24" s="58"/>
      <c r="P24" s="29"/>
    </row>
    <row r="25" spans="3:16" s="25" customFormat="1" ht="15" x14ac:dyDescent="0.25">
      <c r="M25" s="29"/>
      <c r="N25" s="75"/>
      <c r="O25" s="58"/>
      <c r="P25" s="29"/>
    </row>
    <row r="26" spans="3:16" s="25" customFormat="1" ht="15" x14ac:dyDescent="0.25">
      <c r="M26" s="29"/>
      <c r="N26" s="75"/>
      <c r="O26" s="58"/>
      <c r="P26" s="29"/>
    </row>
    <row r="27" spans="3:16" s="25" customFormat="1" ht="15" x14ac:dyDescent="0.25">
      <c r="M27" s="29"/>
      <c r="N27" s="75"/>
      <c r="O27" s="58"/>
      <c r="P27" s="29"/>
    </row>
    <row r="28" spans="3:16" s="25" customFormat="1" ht="15" x14ac:dyDescent="0.25">
      <c r="M28" s="29"/>
      <c r="N28" s="75"/>
      <c r="O28" s="58"/>
      <c r="P28" s="29"/>
    </row>
    <row r="29" spans="3:16" s="25" customFormat="1" ht="15" x14ac:dyDescent="0.25">
      <c r="M29" s="29"/>
      <c r="N29" s="75"/>
      <c r="O29" s="58"/>
      <c r="P29" s="29"/>
    </row>
    <row r="30" spans="3:16" s="25" customFormat="1" ht="15" x14ac:dyDescent="0.25">
      <c r="M30" s="29"/>
      <c r="N30" s="75"/>
      <c r="O30" s="58"/>
      <c r="P30" s="29"/>
    </row>
    <row r="31" spans="3:16" s="25" customFormat="1" ht="15" hidden="1" x14ac:dyDescent="0.25">
      <c r="M31" s="29"/>
      <c r="N31" s="75"/>
      <c r="O31" s="58"/>
      <c r="P31" s="29"/>
    </row>
    <row r="32" spans="3:16" s="25" customFormat="1" ht="15" hidden="1" x14ac:dyDescent="0.25">
      <c r="M32" s="29"/>
      <c r="N32" s="75"/>
      <c r="O32" s="58"/>
      <c r="P32" s="29"/>
    </row>
    <row r="33" spans="13:16" s="25" customFormat="1" ht="15" hidden="1" x14ac:dyDescent="0.25">
      <c r="M33" s="29"/>
      <c r="N33" s="75"/>
      <c r="O33" s="58"/>
      <c r="P33" s="29"/>
    </row>
    <row r="34" spans="13:16" s="25" customFormat="1" ht="15" hidden="1" x14ac:dyDescent="0.25">
      <c r="M34" s="29"/>
      <c r="N34" s="75"/>
      <c r="O34" s="58"/>
      <c r="P34" s="29"/>
    </row>
    <row r="35" spans="13:16" s="25" customFormat="1" ht="15" hidden="1" x14ac:dyDescent="0.25">
      <c r="M35" s="29"/>
      <c r="N35" s="75"/>
      <c r="O35" s="58"/>
      <c r="P35" s="29"/>
    </row>
    <row r="36" spans="13:16" s="25" customFormat="1" ht="15" hidden="1" x14ac:dyDescent="0.25">
      <c r="M36" s="29"/>
      <c r="N36" s="75"/>
      <c r="O36" s="58"/>
      <c r="P36" s="29"/>
    </row>
    <row r="37" spans="13:16" s="25" customFormat="1" ht="15" hidden="1" x14ac:dyDescent="0.25">
      <c r="M37" s="29"/>
      <c r="N37" s="75"/>
      <c r="O37" s="58"/>
      <c r="P37" s="29"/>
    </row>
    <row r="38" spans="13:16" s="25" customFormat="1" ht="15" hidden="1" x14ac:dyDescent="0.25">
      <c r="M38" s="29"/>
      <c r="N38" s="75"/>
      <c r="O38" s="58"/>
      <c r="P38" s="29"/>
    </row>
    <row r="39" spans="13:16" s="25" customFormat="1" ht="15" hidden="1" x14ac:dyDescent="0.25">
      <c r="M39" s="29"/>
      <c r="N39" s="75"/>
      <c r="O39" s="58"/>
      <c r="P39" s="29"/>
    </row>
    <row r="40" spans="13:16" s="25" customFormat="1" ht="15" hidden="1" x14ac:dyDescent="0.25">
      <c r="M40" s="29"/>
      <c r="N40" s="75"/>
      <c r="O40" s="58"/>
      <c r="P40" s="29"/>
    </row>
    <row r="41" spans="13:16" s="25" customFormat="1" ht="15" hidden="1" x14ac:dyDescent="0.25">
      <c r="M41" s="29"/>
      <c r="N41" s="75"/>
      <c r="O41" s="58"/>
      <c r="P41" s="29"/>
    </row>
    <row r="42" spans="13:16" ht="15" hidden="1" customHeight="1" x14ac:dyDescent="0.25"/>
  </sheetData>
  <mergeCells count="12">
    <mergeCell ref="B13:J14"/>
    <mergeCell ref="B15:J15"/>
    <mergeCell ref="E12:F12"/>
    <mergeCell ref="G12:H12"/>
    <mergeCell ref="I11:J11"/>
    <mergeCell ref="I12:J12"/>
    <mergeCell ref="E10:J10"/>
    <mergeCell ref="A3:M3"/>
    <mergeCell ref="B10:C10"/>
    <mergeCell ref="B11:C11"/>
    <mergeCell ref="E11:F11"/>
    <mergeCell ref="G11:H11"/>
  </mergeCells>
  <conditionalFormatting sqref="D12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showInputMessage="1" showErrorMessage="1" sqref="D12" xr:uid="{00000000-0002-0000-0500-000000000000}"/>
  </dataValidation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0"/>
  <dimension ref="A1:R203"/>
  <sheetViews>
    <sheetView showGridLines="0" showRowColHeaders="0" showZeros="0" zoomScaleNormal="100" workbookViewId="0">
      <selection activeCell="A21" sqref="A21:XFD21"/>
    </sheetView>
  </sheetViews>
  <sheetFormatPr defaultRowHeight="15" x14ac:dyDescent="0.25"/>
  <cols>
    <col min="1" max="1" width="4" style="1" customWidth="1"/>
    <col min="2" max="2" width="52.42578125" style="1" bestFit="1" customWidth="1"/>
    <col min="3" max="3" width="9.7109375" bestFit="1" customWidth="1"/>
    <col min="4" max="4" width="5.5703125" style="63" customWidth="1"/>
    <col min="5" max="5" width="13.140625" style="66" customWidth="1"/>
    <col min="6" max="6" width="22.85546875" customWidth="1"/>
    <col min="7" max="7" width="20.7109375" customWidth="1"/>
  </cols>
  <sheetData>
    <row r="1" spans="1:18" s="25" customFormat="1" x14ac:dyDescent="0.25">
      <c r="A1" s="29"/>
      <c r="B1" s="29"/>
      <c r="D1" s="58"/>
      <c r="E1" s="67"/>
    </row>
    <row r="2" spans="1:18" s="25" customFormat="1" x14ac:dyDescent="0.25">
      <c r="A2" s="29"/>
      <c r="B2" s="29"/>
      <c r="D2" s="58"/>
      <c r="E2" s="67"/>
    </row>
    <row r="3" spans="1:18" s="25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26"/>
      <c r="Q3" s="26"/>
      <c r="R3" s="26"/>
    </row>
    <row r="4" spans="1:18" s="5" customFormat="1" ht="6" customHeight="1" x14ac:dyDescent="0.25">
      <c r="A4" s="30"/>
      <c r="B4" s="30"/>
      <c r="D4" s="59"/>
      <c r="E4" s="68"/>
    </row>
    <row r="5" spans="1:18" s="2" customFormat="1" x14ac:dyDescent="0.25">
      <c r="A5" s="31"/>
      <c r="B5" s="31"/>
      <c r="D5" s="60"/>
      <c r="E5" s="69"/>
    </row>
    <row r="6" spans="1:18" s="2" customFormat="1" x14ac:dyDescent="0.25">
      <c r="A6" s="31"/>
      <c r="B6" s="31"/>
      <c r="D6" s="60"/>
      <c r="E6" s="69"/>
    </row>
    <row r="7" spans="1:18" s="2" customFormat="1" x14ac:dyDescent="0.25">
      <c r="A7" s="31"/>
      <c r="B7" s="31"/>
      <c r="D7" s="60"/>
      <c r="E7" s="69"/>
    </row>
    <row r="8" spans="1:18" s="3" customFormat="1" x14ac:dyDescent="0.25">
      <c r="A8" s="32"/>
      <c r="B8" s="32"/>
      <c r="D8" s="61"/>
      <c r="E8" s="70"/>
    </row>
    <row r="9" spans="1:18" x14ac:dyDescent="0.25">
      <c r="A9" s="195" t="s">
        <v>54</v>
      </c>
      <c r="B9" s="197">
        <v>21</v>
      </c>
      <c r="C9" s="196" t="s">
        <v>53</v>
      </c>
      <c r="D9" s="198">
        <f>COUNTIF(Vender!N12:N24,"")</f>
        <v>13</v>
      </c>
      <c r="E9" s="199"/>
      <c r="F9" s="56" t="s">
        <v>55</v>
      </c>
      <c r="G9" s="56"/>
      <c r="H9" s="56"/>
    </row>
    <row r="10" spans="1:18" x14ac:dyDescent="0.25">
      <c r="A10" s="1" t="s">
        <v>56</v>
      </c>
      <c r="B10" s="1" t="s">
        <v>104</v>
      </c>
      <c r="D10" s="62"/>
      <c r="E10" s="80">
        <v>42989</v>
      </c>
    </row>
    <row r="11" spans="1:18" x14ac:dyDescent="0.25">
      <c r="A11" s="1">
        <v>1</v>
      </c>
      <c r="B11" s="1" t="s">
        <v>17</v>
      </c>
      <c r="C11">
        <v>500</v>
      </c>
      <c r="D11" s="62" t="s">
        <v>28</v>
      </c>
      <c r="E11" s="73">
        <v>75</v>
      </c>
    </row>
    <row r="12" spans="1:18" x14ac:dyDescent="0.25">
      <c r="A12" s="1" t="s">
        <v>56</v>
      </c>
      <c r="B12" s="1" t="s">
        <v>94</v>
      </c>
      <c r="D12" s="62"/>
      <c r="E12" s="80">
        <v>42989</v>
      </c>
    </row>
    <row r="13" spans="1:18" x14ac:dyDescent="0.25">
      <c r="A13" s="1">
        <v>1</v>
      </c>
      <c r="B13" s="1" t="s">
        <v>18</v>
      </c>
      <c r="C13">
        <v>46</v>
      </c>
      <c r="D13" s="62" t="s">
        <v>28</v>
      </c>
      <c r="E13" s="73">
        <v>6.8999999999999995</v>
      </c>
    </row>
    <row r="14" spans="1:18" x14ac:dyDescent="0.25">
      <c r="A14" s="1" t="s">
        <v>56</v>
      </c>
      <c r="B14" s="1" t="s">
        <v>104</v>
      </c>
      <c r="D14" s="62"/>
      <c r="E14" s="80">
        <v>42989</v>
      </c>
    </row>
    <row r="15" spans="1:18" x14ac:dyDescent="0.25">
      <c r="A15" s="1">
        <v>1</v>
      </c>
      <c r="B15" s="1" t="s">
        <v>14</v>
      </c>
      <c r="C15">
        <v>100</v>
      </c>
      <c r="D15" s="62" t="s">
        <v>28</v>
      </c>
      <c r="E15" s="73">
        <v>20</v>
      </c>
      <c r="L15" s="1"/>
    </row>
    <row r="16" spans="1:18" x14ac:dyDescent="0.25">
      <c r="A16" s="1" t="s">
        <v>56</v>
      </c>
      <c r="B16" s="1" t="s">
        <v>104</v>
      </c>
      <c r="D16" s="62"/>
      <c r="E16" s="80">
        <v>43053</v>
      </c>
    </row>
    <row r="17" spans="1:5" x14ac:dyDescent="0.25">
      <c r="A17" s="1">
        <v>1</v>
      </c>
      <c r="B17" s="1" t="s">
        <v>14</v>
      </c>
      <c r="C17">
        <v>150</v>
      </c>
      <c r="D17" s="62" t="s">
        <v>28</v>
      </c>
      <c r="E17" s="73">
        <v>30</v>
      </c>
    </row>
    <row r="18" spans="1:5" x14ac:dyDescent="0.25">
      <c r="A18" s="1">
        <v>2</v>
      </c>
      <c r="B18" s="1" t="s">
        <v>17</v>
      </c>
      <c r="C18">
        <v>20</v>
      </c>
      <c r="D18" s="62" t="s">
        <v>28</v>
      </c>
      <c r="E18" s="73">
        <v>3</v>
      </c>
    </row>
    <row r="19" spans="1:5" x14ac:dyDescent="0.25">
      <c r="A19" s="1" t="s">
        <v>56</v>
      </c>
      <c r="B19" s="1" t="s">
        <v>138</v>
      </c>
      <c r="D19" s="62"/>
      <c r="E19" s="80">
        <v>43160</v>
      </c>
    </row>
    <row r="20" spans="1:5" x14ac:dyDescent="0.25">
      <c r="A20" s="1">
        <v>1</v>
      </c>
      <c r="B20" s="1" t="s">
        <v>18</v>
      </c>
      <c r="C20">
        <v>150</v>
      </c>
      <c r="D20" s="62" t="s">
        <v>28</v>
      </c>
      <c r="E20" s="73">
        <v>22.5</v>
      </c>
    </row>
    <row r="21" spans="1:5" x14ac:dyDescent="0.25">
      <c r="D21" s="62"/>
      <c r="E21" s="73"/>
    </row>
    <row r="22" spans="1:5" x14ac:dyDescent="0.25">
      <c r="D22" s="62"/>
      <c r="E22" s="73"/>
    </row>
    <row r="23" spans="1:5" x14ac:dyDescent="0.25">
      <c r="D23" s="62"/>
      <c r="E23" s="73"/>
    </row>
    <row r="24" spans="1:5" x14ac:dyDescent="0.25">
      <c r="D24" s="62"/>
      <c r="E24" s="73"/>
    </row>
    <row r="25" spans="1:5" x14ac:dyDescent="0.25">
      <c r="D25" s="62"/>
      <c r="E25" s="73"/>
    </row>
    <row r="26" spans="1:5" x14ac:dyDescent="0.25">
      <c r="D26" s="62"/>
      <c r="E26" s="73"/>
    </row>
    <row r="27" spans="1:5" x14ac:dyDescent="0.25">
      <c r="D27" s="62"/>
      <c r="E27" s="73"/>
    </row>
    <row r="28" spans="1:5" x14ac:dyDescent="0.25">
      <c r="D28" s="62"/>
      <c r="E28" s="73"/>
    </row>
    <row r="29" spans="1:5" x14ac:dyDescent="0.25">
      <c r="D29" s="62"/>
      <c r="E29" s="73"/>
    </row>
    <row r="30" spans="1:5" x14ac:dyDescent="0.25">
      <c r="D30" s="62"/>
      <c r="E30" s="73"/>
    </row>
    <row r="31" spans="1:5" x14ac:dyDescent="0.25">
      <c r="D31" s="62"/>
      <c r="E31" s="73"/>
    </row>
    <row r="32" spans="1:5" x14ac:dyDescent="0.25">
      <c r="D32" s="62"/>
      <c r="E32" s="73"/>
    </row>
    <row r="33" spans="4:5" x14ac:dyDescent="0.25">
      <c r="D33" s="62"/>
      <c r="E33" s="73"/>
    </row>
    <row r="34" spans="4:5" x14ac:dyDescent="0.25">
      <c r="D34" s="62"/>
      <c r="E34" s="72"/>
    </row>
    <row r="35" spans="4:5" x14ac:dyDescent="0.25">
      <c r="D35" s="62"/>
      <c r="E35" s="73"/>
    </row>
    <row r="36" spans="4:5" x14ac:dyDescent="0.25">
      <c r="D36" s="62"/>
      <c r="E36" s="73"/>
    </row>
    <row r="37" spans="4:5" x14ac:dyDescent="0.25">
      <c r="D37" s="62"/>
      <c r="E37" s="73"/>
    </row>
    <row r="38" spans="4:5" x14ac:dyDescent="0.25">
      <c r="D38" s="62"/>
      <c r="E38" s="73"/>
    </row>
    <row r="39" spans="4:5" x14ac:dyDescent="0.25">
      <c r="D39" s="62"/>
      <c r="E39" s="73"/>
    </row>
    <row r="40" spans="4:5" x14ac:dyDescent="0.25">
      <c r="D40" s="62"/>
      <c r="E40" s="73"/>
    </row>
    <row r="41" spans="4:5" x14ac:dyDescent="0.25">
      <c r="D41" s="62"/>
      <c r="E41" s="73"/>
    </row>
    <row r="42" spans="4:5" x14ac:dyDescent="0.25">
      <c r="D42" s="62"/>
      <c r="E42" s="73"/>
    </row>
    <row r="43" spans="4:5" x14ac:dyDescent="0.25">
      <c r="D43" s="62"/>
      <c r="E43" s="73"/>
    </row>
    <row r="44" spans="4:5" x14ac:dyDescent="0.25">
      <c r="D44" s="62"/>
      <c r="E44" s="73"/>
    </row>
    <row r="45" spans="4:5" x14ac:dyDescent="0.25">
      <c r="D45" s="62"/>
      <c r="E45" s="73"/>
    </row>
    <row r="46" spans="4:5" x14ac:dyDescent="0.25">
      <c r="E46" s="73"/>
    </row>
    <row r="47" spans="4:5" x14ac:dyDescent="0.25">
      <c r="E47" s="73"/>
    </row>
    <row r="48" spans="4:5" x14ac:dyDescent="0.25">
      <c r="E48" s="72"/>
    </row>
    <row r="49" spans="5:5" x14ac:dyDescent="0.25">
      <c r="E49" s="73"/>
    </row>
    <row r="50" spans="5:5" x14ac:dyDescent="0.25">
      <c r="E50" s="73"/>
    </row>
    <row r="51" spans="5:5" x14ac:dyDescent="0.25">
      <c r="E51" s="73"/>
    </row>
    <row r="52" spans="5:5" x14ac:dyDescent="0.25">
      <c r="E52" s="73"/>
    </row>
    <row r="53" spans="5:5" x14ac:dyDescent="0.25">
      <c r="E53" s="73"/>
    </row>
    <row r="54" spans="5:5" x14ac:dyDescent="0.25">
      <c r="E54" s="73"/>
    </row>
    <row r="55" spans="5:5" x14ac:dyDescent="0.25">
      <c r="E55" s="73"/>
    </row>
    <row r="56" spans="5:5" x14ac:dyDescent="0.25">
      <c r="E56" s="73"/>
    </row>
    <row r="57" spans="5:5" x14ac:dyDescent="0.25">
      <c r="E57" s="73"/>
    </row>
    <row r="58" spans="5:5" x14ac:dyDescent="0.25">
      <c r="E58" s="73"/>
    </row>
    <row r="59" spans="5:5" x14ac:dyDescent="0.25">
      <c r="E59" s="73"/>
    </row>
    <row r="60" spans="5:5" x14ac:dyDescent="0.25">
      <c r="E60" s="73"/>
    </row>
    <row r="61" spans="5:5" x14ac:dyDescent="0.25">
      <c r="E61" s="73"/>
    </row>
    <row r="62" spans="5:5" x14ac:dyDescent="0.25">
      <c r="E62" s="72"/>
    </row>
    <row r="63" spans="5:5" x14ac:dyDescent="0.25">
      <c r="E63" s="73"/>
    </row>
    <row r="64" spans="5:5" x14ac:dyDescent="0.25">
      <c r="E64" s="73"/>
    </row>
    <row r="65" spans="5:5" x14ac:dyDescent="0.25">
      <c r="E65" s="73"/>
    </row>
    <row r="66" spans="5:5" x14ac:dyDescent="0.25">
      <c r="E66" s="73"/>
    </row>
    <row r="67" spans="5:5" x14ac:dyDescent="0.25">
      <c r="E67" s="73"/>
    </row>
    <row r="68" spans="5:5" x14ac:dyDescent="0.25">
      <c r="E68" s="73"/>
    </row>
    <row r="69" spans="5:5" x14ac:dyDescent="0.25">
      <c r="E69" s="73"/>
    </row>
    <row r="70" spans="5:5" x14ac:dyDescent="0.25">
      <c r="E70" s="73"/>
    </row>
    <row r="71" spans="5:5" x14ac:dyDescent="0.25">
      <c r="E71" s="73"/>
    </row>
    <row r="72" spans="5:5" x14ac:dyDescent="0.25">
      <c r="E72" s="73"/>
    </row>
    <row r="73" spans="5:5" x14ac:dyDescent="0.25">
      <c r="E73" s="73"/>
    </row>
    <row r="74" spans="5:5" x14ac:dyDescent="0.25">
      <c r="E74" s="73"/>
    </row>
    <row r="75" spans="5:5" x14ac:dyDescent="0.25">
      <c r="E75" s="73"/>
    </row>
    <row r="76" spans="5:5" x14ac:dyDescent="0.25">
      <c r="E76" s="72"/>
    </row>
    <row r="77" spans="5:5" x14ac:dyDescent="0.25">
      <c r="E77" s="73"/>
    </row>
    <row r="78" spans="5:5" x14ac:dyDescent="0.25">
      <c r="E78" s="73"/>
    </row>
    <row r="79" spans="5:5" x14ac:dyDescent="0.25">
      <c r="E79" s="73"/>
    </row>
    <row r="80" spans="5:5" x14ac:dyDescent="0.25">
      <c r="E80" s="73"/>
    </row>
    <row r="81" spans="5:5" x14ac:dyDescent="0.25">
      <c r="E81" s="73"/>
    </row>
    <row r="82" spans="5:5" x14ac:dyDescent="0.25">
      <c r="E82" s="73"/>
    </row>
    <row r="83" spans="5:5" x14ac:dyDescent="0.25">
      <c r="E83" s="73"/>
    </row>
    <row r="84" spans="5:5" x14ac:dyDescent="0.25">
      <c r="E84" s="73"/>
    </row>
    <row r="85" spans="5:5" x14ac:dyDescent="0.25">
      <c r="E85" s="73"/>
    </row>
    <row r="86" spans="5:5" x14ac:dyDescent="0.25">
      <c r="E86" s="73"/>
    </row>
    <row r="87" spans="5:5" x14ac:dyDescent="0.25">
      <c r="E87" s="73"/>
    </row>
    <row r="88" spans="5:5" x14ac:dyDescent="0.25">
      <c r="E88" s="73"/>
    </row>
    <row r="89" spans="5:5" x14ac:dyDescent="0.25">
      <c r="E89" s="73"/>
    </row>
    <row r="90" spans="5:5" x14ac:dyDescent="0.25">
      <c r="E90" s="72"/>
    </row>
    <row r="91" spans="5:5" x14ac:dyDescent="0.25">
      <c r="E91" s="73"/>
    </row>
    <row r="92" spans="5:5" x14ac:dyDescent="0.25">
      <c r="E92" s="73"/>
    </row>
    <row r="93" spans="5:5" x14ac:dyDescent="0.25">
      <c r="E93" s="73"/>
    </row>
    <row r="94" spans="5:5" x14ac:dyDescent="0.25">
      <c r="E94" s="73"/>
    </row>
    <row r="95" spans="5:5" x14ac:dyDescent="0.25">
      <c r="E95" s="73"/>
    </row>
    <row r="96" spans="5:5" x14ac:dyDescent="0.25">
      <c r="E96" s="73"/>
    </row>
    <row r="97" spans="5:5" x14ac:dyDescent="0.25">
      <c r="E97" s="73"/>
    </row>
    <row r="98" spans="5:5" x14ac:dyDescent="0.25">
      <c r="E98" s="73"/>
    </row>
    <row r="99" spans="5:5" x14ac:dyDescent="0.25">
      <c r="E99" s="73"/>
    </row>
    <row r="100" spans="5:5" x14ac:dyDescent="0.25">
      <c r="E100" s="73"/>
    </row>
    <row r="101" spans="5:5" x14ac:dyDescent="0.25">
      <c r="E101" s="73"/>
    </row>
    <row r="102" spans="5:5" x14ac:dyDescent="0.25">
      <c r="E102" s="73"/>
    </row>
    <row r="103" spans="5:5" x14ac:dyDescent="0.25">
      <c r="E103" s="73"/>
    </row>
    <row r="104" spans="5:5" x14ac:dyDescent="0.25">
      <c r="E104" s="72"/>
    </row>
    <row r="105" spans="5:5" x14ac:dyDescent="0.25">
      <c r="E105" s="73"/>
    </row>
    <row r="106" spans="5:5" x14ac:dyDescent="0.25">
      <c r="E106" s="73"/>
    </row>
    <row r="107" spans="5:5" x14ac:dyDescent="0.25">
      <c r="E107" s="73"/>
    </row>
    <row r="108" spans="5:5" x14ac:dyDescent="0.25">
      <c r="E108" s="73"/>
    </row>
    <row r="109" spans="5:5" x14ac:dyDescent="0.25">
      <c r="E109" s="73"/>
    </row>
    <row r="110" spans="5:5" x14ac:dyDescent="0.25">
      <c r="E110" s="73"/>
    </row>
    <row r="111" spans="5:5" x14ac:dyDescent="0.25">
      <c r="E111" s="73"/>
    </row>
    <row r="112" spans="5:5" x14ac:dyDescent="0.25">
      <c r="E112" s="73"/>
    </row>
    <row r="113" spans="5:5" x14ac:dyDescent="0.25">
      <c r="E113" s="73"/>
    </row>
    <row r="114" spans="5:5" x14ac:dyDescent="0.25">
      <c r="E114" s="73"/>
    </row>
    <row r="115" spans="5:5" x14ac:dyDescent="0.25">
      <c r="E115" s="73"/>
    </row>
    <row r="116" spans="5:5" x14ac:dyDescent="0.25">
      <c r="E116" s="73"/>
    </row>
    <row r="117" spans="5:5" x14ac:dyDescent="0.25">
      <c r="E117" s="73"/>
    </row>
    <row r="118" spans="5:5" x14ac:dyDescent="0.25">
      <c r="E118" s="72"/>
    </row>
    <row r="119" spans="5:5" x14ac:dyDescent="0.25">
      <c r="E119" s="73"/>
    </row>
    <row r="120" spans="5:5" x14ac:dyDescent="0.25">
      <c r="E120" s="73"/>
    </row>
    <row r="121" spans="5:5" x14ac:dyDescent="0.25">
      <c r="E121" s="73"/>
    </row>
    <row r="122" spans="5:5" x14ac:dyDescent="0.25">
      <c r="E122" s="73"/>
    </row>
    <row r="123" spans="5:5" x14ac:dyDescent="0.25">
      <c r="E123" s="73"/>
    </row>
    <row r="124" spans="5:5" x14ac:dyDescent="0.25">
      <c r="E124" s="73"/>
    </row>
    <row r="125" spans="5:5" x14ac:dyDescent="0.25">
      <c r="E125" s="73"/>
    </row>
    <row r="126" spans="5:5" x14ac:dyDescent="0.25">
      <c r="E126" s="73"/>
    </row>
    <row r="127" spans="5:5" x14ac:dyDescent="0.25">
      <c r="E127" s="73"/>
    </row>
    <row r="128" spans="5:5" x14ac:dyDescent="0.25">
      <c r="E128" s="73"/>
    </row>
    <row r="129" spans="5:5" x14ac:dyDescent="0.25">
      <c r="E129" s="73"/>
    </row>
    <row r="130" spans="5:5" x14ac:dyDescent="0.25">
      <c r="E130" s="73"/>
    </row>
    <row r="131" spans="5:5" x14ac:dyDescent="0.25">
      <c r="E131" s="73"/>
    </row>
    <row r="132" spans="5:5" x14ac:dyDescent="0.25">
      <c r="E132" s="72"/>
    </row>
    <row r="133" spans="5:5" x14ac:dyDescent="0.25">
      <c r="E133" s="73"/>
    </row>
    <row r="134" spans="5:5" x14ac:dyDescent="0.25">
      <c r="E134" s="73"/>
    </row>
    <row r="135" spans="5:5" x14ac:dyDescent="0.25">
      <c r="E135" s="73"/>
    </row>
    <row r="136" spans="5:5" x14ac:dyDescent="0.25">
      <c r="E136" s="73"/>
    </row>
    <row r="137" spans="5:5" x14ac:dyDescent="0.25">
      <c r="E137" s="73"/>
    </row>
    <row r="138" spans="5:5" x14ac:dyDescent="0.25">
      <c r="E138" s="73"/>
    </row>
    <row r="139" spans="5:5" x14ac:dyDescent="0.25">
      <c r="E139" s="73"/>
    </row>
    <row r="140" spans="5:5" x14ac:dyDescent="0.25">
      <c r="E140" s="73"/>
    </row>
    <row r="141" spans="5:5" x14ac:dyDescent="0.25">
      <c r="E141" s="73"/>
    </row>
    <row r="142" spans="5:5" x14ac:dyDescent="0.25">
      <c r="E142" s="73"/>
    </row>
    <row r="143" spans="5:5" x14ac:dyDescent="0.25">
      <c r="E143" s="73"/>
    </row>
    <row r="144" spans="5:5" x14ac:dyDescent="0.25">
      <c r="E144" s="73"/>
    </row>
    <row r="145" spans="5:5" x14ac:dyDescent="0.25">
      <c r="E145" s="73"/>
    </row>
    <row r="146" spans="5:5" x14ac:dyDescent="0.25">
      <c r="E146" s="72"/>
    </row>
    <row r="147" spans="5:5" x14ac:dyDescent="0.25">
      <c r="E147" s="73"/>
    </row>
    <row r="148" spans="5:5" x14ac:dyDescent="0.25">
      <c r="E148" s="73"/>
    </row>
    <row r="149" spans="5:5" x14ac:dyDescent="0.25">
      <c r="E149" s="73"/>
    </row>
    <row r="150" spans="5:5" x14ac:dyDescent="0.25">
      <c r="E150" s="73"/>
    </row>
    <row r="151" spans="5:5" x14ac:dyDescent="0.25">
      <c r="E151" s="73"/>
    </row>
    <row r="152" spans="5:5" x14ac:dyDescent="0.25">
      <c r="E152" s="73"/>
    </row>
    <row r="153" spans="5:5" x14ac:dyDescent="0.25">
      <c r="E153" s="73"/>
    </row>
    <row r="154" spans="5:5" x14ac:dyDescent="0.25">
      <c r="E154" s="73"/>
    </row>
    <row r="155" spans="5:5" x14ac:dyDescent="0.25">
      <c r="E155" s="73"/>
    </row>
    <row r="156" spans="5:5" x14ac:dyDescent="0.25">
      <c r="E156" s="73"/>
    </row>
    <row r="157" spans="5:5" x14ac:dyDescent="0.25">
      <c r="E157" s="73"/>
    </row>
    <row r="158" spans="5:5" x14ac:dyDescent="0.25">
      <c r="E158" s="73"/>
    </row>
    <row r="159" spans="5:5" x14ac:dyDescent="0.25">
      <c r="E159" s="73"/>
    </row>
    <row r="160" spans="5:5" x14ac:dyDescent="0.25">
      <c r="E160" s="72"/>
    </row>
    <row r="161" spans="5:5" x14ac:dyDescent="0.25">
      <c r="E161" s="73"/>
    </row>
    <row r="162" spans="5:5" x14ac:dyDescent="0.25">
      <c r="E162" s="73"/>
    </row>
    <row r="163" spans="5:5" x14ac:dyDescent="0.25">
      <c r="E163" s="73"/>
    </row>
    <row r="164" spans="5:5" x14ac:dyDescent="0.25">
      <c r="E164" s="72"/>
    </row>
    <row r="165" spans="5:5" x14ac:dyDescent="0.25">
      <c r="E165" s="73"/>
    </row>
    <row r="166" spans="5:5" x14ac:dyDescent="0.25">
      <c r="E166" s="73"/>
    </row>
    <row r="167" spans="5:5" x14ac:dyDescent="0.25">
      <c r="E167" s="72"/>
    </row>
    <row r="168" spans="5:5" x14ac:dyDescent="0.25">
      <c r="E168" s="73"/>
    </row>
    <row r="169" spans="5:5" x14ac:dyDescent="0.25">
      <c r="E169" s="72"/>
    </row>
    <row r="170" spans="5:5" x14ac:dyDescent="0.25">
      <c r="E170" s="73"/>
    </row>
    <row r="171" spans="5:5" x14ac:dyDescent="0.25">
      <c r="E171" s="72"/>
    </row>
    <row r="172" spans="5:5" x14ac:dyDescent="0.25">
      <c r="E172" s="73"/>
    </row>
    <row r="173" spans="5:5" x14ac:dyDescent="0.25">
      <c r="E173" s="72"/>
    </row>
    <row r="174" spans="5:5" x14ac:dyDescent="0.25">
      <c r="E174" s="73"/>
    </row>
    <row r="175" spans="5:5" x14ac:dyDescent="0.25">
      <c r="E175" s="72"/>
    </row>
    <row r="176" spans="5:5" x14ac:dyDescent="0.25">
      <c r="E176" s="73"/>
    </row>
    <row r="177" spans="5:5" x14ac:dyDescent="0.25">
      <c r="E177" s="72"/>
    </row>
    <row r="178" spans="5:5" x14ac:dyDescent="0.25">
      <c r="E178" s="73"/>
    </row>
    <row r="179" spans="5:5" x14ac:dyDescent="0.25">
      <c r="E179" s="72"/>
    </row>
    <row r="180" spans="5:5" x14ac:dyDescent="0.25">
      <c r="E180" s="73"/>
    </row>
    <row r="181" spans="5:5" x14ac:dyDescent="0.25">
      <c r="E181" s="73"/>
    </row>
    <row r="182" spans="5:5" x14ac:dyDescent="0.25">
      <c r="E182" s="73"/>
    </row>
    <row r="183" spans="5:5" x14ac:dyDescent="0.25">
      <c r="E183" s="73"/>
    </row>
    <row r="184" spans="5:5" x14ac:dyDescent="0.25">
      <c r="E184" s="73"/>
    </row>
    <row r="185" spans="5:5" x14ac:dyDescent="0.25">
      <c r="E185" s="73"/>
    </row>
    <row r="186" spans="5:5" x14ac:dyDescent="0.25">
      <c r="E186" s="73"/>
    </row>
    <row r="187" spans="5:5" x14ac:dyDescent="0.25">
      <c r="E187" s="73"/>
    </row>
    <row r="188" spans="5:5" x14ac:dyDescent="0.25">
      <c r="E188" s="73"/>
    </row>
    <row r="189" spans="5:5" x14ac:dyDescent="0.25">
      <c r="E189" s="73"/>
    </row>
    <row r="190" spans="5:5" x14ac:dyDescent="0.25">
      <c r="E190" s="73"/>
    </row>
    <row r="191" spans="5:5" x14ac:dyDescent="0.25">
      <c r="E191" s="73"/>
    </row>
    <row r="192" spans="5:5" x14ac:dyDescent="0.25">
      <c r="E192" s="73"/>
    </row>
    <row r="193" spans="5:6" x14ac:dyDescent="0.25">
      <c r="E193" s="72"/>
      <c r="F193" s="72"/>
    </row>
    <row r="194" spans="5:6" x14ac:dyDescent="0.25">
      <c r="E194" s="73"/>
      <c r="F194" s="72"/>
    </row>
    <row r="195" spans="5:6" x14ac:dyDescent="0.25">
      <c r="E195" s="73"/>
      <c r="F195" s="72"/>
    </row>
    <row r="196" spans="5:6" x14ac:dyDescent="0.25">
      <c r="E196" s="72"/>
      <c r="F196" s="72"/>
    </row>
    <row r="197" spans="5:6" ht="15.75" x14ac:dyDescent="0.25">
      <c r="E197" s="226"/>
      <c r="F197" s="72"/>
    </row>
    <row r="198" spans="5:6" x14ac:dyDescent="0.25">
      <c r="E198" s="72"/>
      <c r="F198" s="72"/>
    </row>
    <row r="199" spans="5:6" x14ac:dyDescent="0.25">
      <c r="E199" s="73"/>
    </row>
    <row r="200" spans="5:6" x14ac:dyDescent="0.25">
      <c r="E200" s="72"/>
    </row>
    <row r="201" spans="5:6" x14ac:dyDescent="0.25">
      <c r="E201" s="73"/>
    </row>
    <row r="202" spans="5:6" x14ac:dyDescent="0.25">
      <c r="E202" s="72"/>
    </row>
    <row r="203" spans="5:6" x14ac:dyDescent="0.25">
      <c r="E203" s="73"/>
    </row>
  </sheetData>
  <mergeCells count="1">
    <mergeCell ref="A3:O3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Vender_2">
    <pageSetUpPr autoPageBreaks="0"/>
  </sheetPr>
  <dimension ref="A1:XFC48"/>
  <sheetViews>
    <sheetView showGridLines="0" showRowColHeaders="0" showZeros="0" zoomScaleNormal="100" workbookViewId="0">
      <selection activeCell="I11" sqref="I11"/>
    </sheetView>
  </sheetViews>
  <sheetFormatPr defaultColWidth="0" defaultRowHeight="0" customHeight="1" zeroHeight="1" x14ac:dyDescent="0.25"/>
  <cols>
    <col min="1" max="1" width="9.140625" customWidth="1"/>
    <col min="2" max="2" width="38.5703125" customWidth="1"/>
    <col min="3" max="3" width="2.85546875" customWidth="1"/>
    <col min="4" max="4" width="32.140625" customWidth="1"/>
    <col min="5" max="5" width="2.85546875" customWidth="1"/>
    <col min="6" max="6" width="20.140625" customWidth="1"/>
    <col min="7" max="7" width="5.7109375" customWidth="1"/>
    <col min="8" max="8" width="2.85546875" customWidth="1"/>
    <col min="9" max="9" width="16.42578125" customWidth="1"/>
    <col min="10" max="10" width="3.85546875" customWidth="1"/>
    <col min="11" max="11" width="2.85546875" customWidth="1"/>
    <col min="12" max="12" width="27.140625" style="1" customWidth="1"/>
    <col min="13" max="13" width="8" style="79" customWidth="1"/>
    <col min="14" max="14" width="5.7109375" style="62" customWidth="1"/>
    <col min="15" max="15" width="12.42578125" style="1" customWidth="1"/>
    <col min="16" max="16" width="2.28515625" customWidth="1"/>
    <col min="19" max="16383" width="9.140625" hidden="1"/>
    <col min="16384" max="16384" width="0.7109375" customWidth="1"/>
  </cols>
  <sheetData>
    <row r="1" spans="1:16" s="88" customFormat="1" ht="15" x14ac:dyDescent="0.25">
      <c r="A1" s="326">
        <f>COUNTIF(L12:L24,D11)</f>
        <v>0</v>
      </c>
      <c r="L1" s="89"/>
      <c r="M1" s="90"/>
      <c r="N1" s="91"/>
      <c r="O1" s="89"/>
    </row>
    <row r="2" spans="1:16" s="88" customFormat="1" ht="15" x14ac:dyDescent="0.25">
      <c r="L2" s="89"/>
      <c r="M2" s="90"/>
      <c r="N2" s="91"/>
      <c r="O2" s="89"/>
    </row>
    <row r="3" spans="1:16" s="92" customFormat="1" ht="15.75" x14ac:dyDescent="0.25">
      <c r="A3" s="424">
        <f ca="1">TODAY()</f>
        <v>43160</v>
      </c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</row>
    <row r="4" spans="1:16" s="5" customFormat="1" ht="6" customHeight="1" x14ac:dyDescent="0.25">
      <c r="L4" s="30"/>
      <c r="M4" s="76"/>
      <c r="N4" s="59"/>
      <c r="O4" s="30"/>
    </row>
    <row r="5" spans="1:16" s="2" customFormat="1" ht="15" x14ac:dyDescent="0.25">
      <c r="L5" s="31"/>
      <c r="M5" s="77"/>
      <c r="N5" s="60"/>
      <c r="O5" s="31"/>
    </row>
    <row r="6" spans="1:16" s="2" customFormat="1" ht="15" x14ac:dyDescent="0.25">
      <c r="L6" s="31"/>
      <c r="M6" s="77"/>
      <c r="N6" s="60"/>
      <c r="O6" s="31"/>
    </row>
    <row r="7" spans="1:16" s="2" customFormat="1" ht="15" x14ac:dyDescent="0.25">
      <c r="L7" s="31"/>
      <c r="M7" s="77"/>
      <c r="N7" s="60"/>
      <c r="O7" s="31"/>
    </row>
    <row r="8" spans="1:16" s="3" customFormat="1" ht="15" x14ac:dyDescent="0.25">
      <c r="L8" s="32"/>
      <c r="M8" s="78"/>
      <c r="N8" s="61"/>
      <c r="O8" s="32"/>
    </row>
    <row r="9" spans="1:16" s="4" customFormat="1" ht="9" customHeight="1" x14ac:dyDescent="0.25">
      <c r="K9" s="41"/>
      <c r="L9" s="33"/>
      <c r="M9" s="45"/>
      <c r="N9" s="47"/>
      <c r="O9" s="43"/>
    </row>
    <row r="10" spans="1:16" s="4" customFormat="1" ht="17.25" customHeight="1" x14ac:dyDescent="0.25">
      <c r="A10" s="327">
        <v>12</v>
      </c>
      <c r="B10" s="9" t="s">
        <v>61</v>
      </c>
      <c r="C10"/>
      <c r="D10" s="86" t="s">
        <v>0</v>
      </c>
      <c r="F10" s="425" t="s">
        <v>32</v>
      </c>
      <c r="G10" s="425"/>
      <c r="I10" s="86" t="s">
        <v>29</v>
      </c>
      <c r="J10"/>
      <c r="K10" s="426" t="s">
        <v>27</v>
      </c>
      <c r="L10" s="426"/>
      <c r="M10" s="426"/>
      <c r="N10" s="426"/>
      <c r="O10" s="426"/>
    </row>
    <row r="11" spans="1:16" ht="37.5" customHeight="1" x14ac:dyDescent="0.25">
      <c r="A11" s="4"/>
      <c r="B11" s="81"/>
      <c r="D11" s="82" t="s">
        <v>23</v>
      </c>
      <c r="E11" s="4"/>
      <c r="F11" s="82">
        <v>1</v>
      </c>
      <c r="G11" s="36" t="str">
        <f>IFERROR(VLOOKUP(D11,preços,3,FALSE),"-")</f>
        <v>Kg</v>
      </c>
      <c r="H11" s="4"/>
      <c r="I11" s="49">
        <f>IFERROR(F11*VLOOKUP(D11,item,4,FALSE),"-")</f>
        <v>59</v>
      </c>
      <c r="J11" s="4"/>
      <c r="K11" s="135" t="s">
        <v>56</v>
      </c>
      <c r="L11" s="427" t="str">
        <f>CONCATENATE(B10,":  ",B11)</f>
        <v xml:space="preserve">Empresa/Industria:  </v>
      </c>
      <c r="M11" s="427"/>
      <c r="N11" s="428"/>
      <c r="O11" s="95">
        <f ca="1">A3</f>
        <v>43160</v>
      </c>
      <c r="P11" s="4"/>
    </row>
    <row r="12" spans="1:16" ht="15" customHeight="1" x14ac:dyDescent="0.25">
      <c r="A12" s="4"/>
      <c r="B12" s="127"/>
      <c r="C12" s="127"/>
      <c r="D12" s="221"/>
      <c r="E12" s="222"/>
      <c r="F12" s="127"/>
      <c r="H12" s="4"/>
      <c r="I12" s="4"/>
      <c r="J12" s="4"/>
      <c r="K12" s="96">
        <v>1</v>
      </c>
      <c r="L12" s="97"/>
      <c r="M12" s="98"/>
      <c r="N12" s="99"/>
      <c r="O12" s="100"/>
      <c r="P12" s="4"/>
    </row>
    <row r="13" spans="1:16" ht="15" customHeight="1" x14ac:dyDescent="0.25">
      <c r="B13" s="127"/>
      <c r="C13" s="127"/>
      <c r="F13" s="127"/>
      <c r="K13" s="96">
        <v>2</v>
      </c>
      <c r="L13" s="101"/>
      <c r="M13" s="102"/>
      <c r="N13" s="103"/>
      <c r="O13" s="104"/>
    </row>
    <row r="14" spans="1:16" ht="15" customHeight="1" x14ac:dyDescent="0.25">
      <c r="B14" s="127"/>
      <c r="C14" s="127"/>
      <c r="D14" s="221"/>
      <c r="E14" s="221"/>
      <c r="F14" s="127"/>
      <c r="K14" s="96">
        <v>3</v>
      </c>
      <c r="L14" s="105"/>
      <c r="M14" s="106"/>
      <c r="N14" s="107"/>
      <c r="O14" s="108"/>
    </row>
    <row r="15" spans="1:16" ht="15" customHeight="1" x14ac:dyDescent="0.25">
      <c r="B15" s="127"/>
      <c r="C15" s="127"/>
      <c r="D15" s="127"/>
      <c r="E15" s="127"/>
      <c r="F15" s="127"/>
      <c r="K15" s="96">
        <v>4</v>
      </c>
      <c r="L15" s="105"/>
      <c r="M15" s="106"/>
      <c r="N15" s="107"/>
      <c r="O15" s="108"/>
    </row>
    <row r="16" spans="1:16" ht="15" customHeight="1" x14ac:dyDescent="0.25">
      <c r="B16" s="127"/>
      <c r="C16" s="127"/>
      <c r="D16" s="127"/>
      <c r="E16" s="127"/>
      <c r="F16" s="127"/>
      <c r="K16" s="96">
        <v>5</v>
      </c>
      <c r="L16" s="105"/>
      <c r="M16" s="106"/>
      <c r="N16" s="107"/>
      <c r="O16" s="108"/>
    </row>
    <row r="17" spans="2:15" ht="15" customHeight="1" x14ac:dyDescent="0.25">
      <c r="B17" s="21"/>
      <c r="D17" s="22"/>
      <c r="F17" s="37"/>
      <c r="G17" s="23"/>
      <c r="K17" s="96">
        <v>6</v>
      </c>
      <c r="L17" s="105"/>
      <c r="M17" s="106"/>
      <c r="N17" s="107"/>
      <c r="O17" s="108"/>
    </row>
    <row r="18" spans="2:15" ht="15" customHeight="1" x14ac:dyDescent="0.25">
      <c r="B18" s="21"/>
      <c r="D18" s="22"/>
      <c r="F18" s="23"/>
      <c r="G18" s="23"/>
      <c r="K18" s="96">
        <v>7</v>
      </c>
      <c r="L18" s="105"/>
      <c r="M18" s="106"/>
      <c r="N18" s="107"/>
      <c r="O18" s="108"/>
    </row>
    <row r="19" spans="2:15" ht="15.75" thickBot="1" x14ac:dyDescent="0.3">
      <c r="K19" s="96">
        <v>8</v>
      </c>
      <c r="L19" s="105"/>
      <c r="M19" s="106"/>
      <c r="N19" s="107"/>
      <c r="O19" s="108"/>
    </row>
    <row r="20" spans="2:15" ht="19.5" thickBot="1" x14ac:dyDescent="0.3">
      <c r="B20" s="334" t="s">
        <v>7</v>
      </c>
      <c r="C20" s="335"/>
      <c r="D20" s="335"/>
      <c r="E20" s="335"/>
      <c r="F20" s="335"/>
      <c r="G20" s="335"/>
      <c r="H20" s="335"/>
      <c r="I20" s="336"/>
      <c r="K20" s="96">
        <v>9</v>
      </c>
      <c r="L20" s="105"/>
      <c r="M20" s="106"/>
      <c r="N20" s="107"/>
      <c r="O20" s="108"/>
    </row>
    <row r="21" spans="2:15" ht="15" customHeight="1" x14ac:dyDescent="0.25">
      <c r="B21" s="337">
        <f>SUM(O12:O24)</f>
        <v>0</v>
      </c>
      <c r="C21" s="338"/>
      <c r="D21" s="338"/>
      <c r="E21" s="338"/>
      <c r="F21" s="338"/>
      <c r="G21" s="338"/>
      <c r="H21" s="338"/>
      <c r="I21" s="339"/>
      <c r="K21" s="96">
        <v>10</v>
      </c>
      <c r="L21" s="105"/>
      <c r="M21" s="106"/>
      <c r="N21" s="107"/>
      <c r="O21" s="108"/>
    </row>
    <row r="22" spans="2:15" ht="15" customHeight="1" x14ac:dyDescent="0.25">
      <c r="B22" s="340"/>
      <c r="C22" s="341"/>
      <c r="D22" s="341"/>
      <c r="E22" s="341"/>
      <c r="F22" s="341"/>
      <c r="G22" s="341"/>
      <c r="H22" s="341"/>
      <c r="I22" s="342"/>
      <c r="K22" s="96">
        <v>11</v>
      </c>
      <c r="L22" s="105"/>
      <c r="M22" s="106"/>
      <c r="N22" s="107"/>
      <c r="O22" s="108"/>
    </row>
    <row r="23" spans="2:15" ht="15" customHeight="1" x14ac:dyDescent="0.25">
      <c r="B23" s="340"/>
      <c r="C23" s="341"/>
      <c r="D23" s="341"/>
      <c r="E23" s="341"/>
      <c r="F23" s="341"/>
      <c r="G23" s="341"/>
      <c r="H23" s="341"/>
      <c r="I23" s="342"/>
      <c r="K23" s="96">
        <v>12</v>
      </c>
      <c r="L23" s="105"/>
      <c r="M23" s="106"/>
      <c r="N23" s="107"/>
      <c r="O23" s="108"/>
    </row>
    <row r="24" spans="2:15" ht="15" customHeight="1" x14ac:dyDescent="0.25">
      <c r="B24" s="340"/>
      <c r="C24" s="341"/>
      <c r="D24" s="341"/>
      <c r="E24" s="341"/>
      <c r="F24" s="341"/>
      <c r="G24" s="341"/>
      <c r="H24" s="341"/>
      <c r="I24" s="342"/>
      <c r="K24" s="96">
        <v>13</v>
      </c>
      <c r="L24" s="105"/>
      <c r="M24" s="106"/>
      <c r="N24" s="107"/>
      <c r="O24" s="108"/>
    </row>
    <row r="25" spans="2:15" ht="15" customHeight="1" thickBot="1" x14ac:dyDescent="0.3">
      <c r="B25" s="343"/>
      <c r="C25" s="344"/>
      <c r="D25" s="344"/>
      <c r="E25" s="344"/>
      <c r="F25" s="344"/>
      <c r="G25" s="344"/>
      <c r="H25" s="344"/>
      <c r="I25" s="345"/>
      <c r="K25" s="429" t="s">
        <v>33</v>
      </c>
      <c r="L25" s="430"/>
      <c r="M25" s="422" t="s">
        <v>79</v>
      </c>
      <c r="N25" s="423"/>
      <c r="O25" s="151" t="s">
        <v>80</v>
      </c>
    </row>
    <row r="26" spans="2:15" ht="15" customHeight="1" x14ac:dyDescent="0.25">
      <c r="B26" s="136"/>
      <c r="C26" s="136"/>
      <c r="D26" s="136"/>
      <c r="E26" s="136"/>
      <c r="F26" s="136"/>
      <c r="G26" s="136"/>
      <c r="H26" s="136"/>
      <c r="I26" s="136"/>
      <c r="K26" s="431"/>
      <c r="L26" s="432"/>
      <c r="M26" s="153">
        <f>SUMIF(N12:N24,  "kg",M12:M24)</f>
        <v>0</v>
      </c>
      <c r="N26" s="154" t="s">
        <v>28</v>
      </c>
      <c r="O26" s="152">
        <f>SUM(O12:O24)</f>
        <v>0</v>
      </c>
    </row>
    <row r="27" spans="2:15" ht="15" x14ac:dyDescent="0.25">
      <c r="B27" s="20"/>
      <c r="K27" s="42"/>
      <c r="M27" s="46"/>
      <c r="N27" s="48"/>
      <c r="O27" s="44"/>
    </row>
    <row r="28" spans="2:15" s="5" customFormat="1" ht="6" customHeight="1" x14ac:dyDescent="0.25">
      <c r="L28" s="30"/>
      <c r="M28" s="76"/>
      <c r="N28" s="59"/>
      <c r="O28" s="30"/>
    </row>
    <row r="29" spans="2:15" s="88" customFormat="1" ht="15" x14ac:dyDescent="0.25">
      <c r="L29" s="89"/>
      <c r="M29" s="90"/>
      <c r="N29" s="91"/>
      <c r="O29" s="89"/>
    </row>
    <row r="30" spans="2:15" s="88" customFormat="1" ht="15" x14ac:dyDescent="0.25">
      <c r="L30" s="89"/>
      <c r="M30" s="90"/>
      <c r="N30" s="91"/>
      <c r="O30" s="89"/>
    </row>
    <row r="31" spans="2:15" s="88" customFormat="1" ht="15" x14ac:dyDescent="0.25">
      <c r="L31" s="89"/>
      <c r="M31" s="90"/>
      <c r="N31" s="91"/>
      <c r="O31" s="89"/>
    </row>
    <row r="32" spans="2:15" s="88" customFormat="1" ht="15" x14ac:dyDescent="0.25">
      <c r="L32" s="89"/>
      <c r="M32" s="90"/>
      <c r="N32" s="91"/>
      <c r="O32" s="89"/>
    </row>
    <row r="33" spans="12:15" s="88" customFormat="1" ht="15" x14ac:dyDescent="0.25">
      <c r="L33" s="89"/>
      <c r="M33" s="90"/>
      <c r="N33" s="91"/>
      <c r="O33" s="89"/>
    </row>
    <row r="34" spans="12:15" s="88" customFormat="1" ht="15" x14ac:dyDescent="0.25">
      <c r="L34" s="89"/>
      <c r="M34" s="90"/>
      <c r="N34" s="91"/>
      <c r="O34" s="89"/>
    </row>
    <row r="35" spans="12:15" s="88" customFormat="1" ht="15" x14ac:dyDescent="0.25">
      <c r="L35" s="89"/>
      <c r="M35" s="90"/>
      <c r="N35" s="91"/>
      <c r="O35" s="89"/>
    </row>
    <row r="36" spans="12:15" s="88" customFormat="1" ht="15" x14ac:dyDescent="0.25">
      <c r="L36" s="89"/>
      <c r="M36" s="90"/>
      <c r="N36" s="91"/>
      <c r="O36" s="89"/>
    </row>
    <row r="37" spans="12:15" s="25" customFormat="1" ht="15" hidden="1" x14ac:dyDescent="0.25">
      <c r="L37" s="29"/>
      <c r="M37" s="75"/>
      <c r="N37" s="58"/>
      <c r="O37" s="29"/>
    </row>
    <row r="38" spans="12:15" s="25" customFormat="1" ht="15" hidden="1" x14ac:dyDescent="0.25">
      <c r="L38" s="29"/>
      <c r="M38" s="75"/>
      <c r="N38" s="58"/>
      <c r="O38" s="29"/>
    </row>
    <row r="39" spans="12:15" s="25" customFormat="1" ht="15" hidden="1" x14ac:dyDescent="0.25">
      <c r="L39" s="29"/>
      <c r="M39" s="75"/>
      <c r="N39" s="58"/>
      <c r="O39" s="29"/>
    </row>
    <row r="40" spans="12:15" s="25" customFormat="1" ht="15" hidden="1" x14ac:dyDescent="0.25">
      <c r="L40" s="29"/>
      <c r="M40" s="75"/>
      <c r="N40" s="58"/>
      <c r="O40" s="29"/>
    </row>
    <row r="41" spans="12:15" s="25" customFormat="1" ht="15" hidden="1" x14ac:dyDescent="0.25">
      <c r="L41" s="29"/>
      <c r="M41" s="75"/>
      <c r="N41" s="58"/>
      <c r="O41" s="29"/>
    </row>
    <row r="42" spans="12:15" s="25" customFormat="1" ht="15" hidden="1" x14ac:dyDescent="0.25">
      <c r="L42" s="29"/>
      <c r="M42" s="75"/>
      <c r="N42" s="58"/>
      <c r="O42" s="29"/>
    </row>
    <row r="43" spans="12:15" s="25" customFormat="1" ht="15" hidden="1" x14ac:dyDescent="0.25">
      <c r="L43" s="29"/>
      <c r="M43" s="75"/>
      <c r="N43" s="58"/>
      <c r="O43" s="29"/>
    </row>
    <row r="44" spans="12:15" s="25" customFormat="1" ht="15" hidden="1" x14ac:dyDescent="0.25">
      <c r="L44" s="29"/>
      <c r="M44" s="75"/>
      <c r="N44" s="58"/>
      <c r="O44" s="29"/>
    </row>
    <row r="45" spans="12:15" s="25" customFormat="1" ht="15" hidden="1" x14ac:dyDescent="0.25">
      <c r="L45" s="29"/>
      <c r="M45" s="75"/>
      <c r="N45" s="58"/>
      <c r="O45" s="29"/>
    </row>
    <row r="46" spans="12:15" s="25" customFormat="1" ht="15" hidden="1" x14ac:dyDescent="0.25">
      <c r="L46" s="29"/>
      <c r="M46" s="75"/>
      <c r="N46" s="58"/>
      <c r="O46" s="29"/>
    </row>
    <row r="47" spans="12:15" s="25" customFormat="1" ht="15" hidden="1" x14ac:dyDescent="0.25">
      <c r="L47" s="29"/>
      <c r="M47" s="75"/>
      <c r="N47" s="58"/>
      <c r="O47" s="29"/>
    </row>
    <row r="48" spans="12:15" ht="15" hidden="1" customHeight="1" x14ac:dyDescent="0.25"/>
  </sheetData>
  <mergeCells count="8">
    <mergeCell ref="B21:I25"/>
    <mergeCell ref="M25:N25"/>
    <mergeCell ref="A3:P3"/>
    <mergeCell ref="F10:G10"/>
    <mergeCell ref="K10:O10"/>
    <mergeCell ref="L11:N11"/>
    <mergeCell ref="B20:I20"/>
    <mergeCell ref="K25:L26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2"/>
  <dimension ref="A1:R60"/>
  <sheetViews>
    <sheetView showGridLines="0" showRowColHeaders="0" showZeros="0" zoomScaleNormal="100" workbookViewId="0">
      <selection activeCell="A18" sqref="A18:XFD18"/>
    </sheetView>
  </sheetViews>
  <sheetFormatPr defaultRowHeight="15" x14ac:dyDescent="0.25"/>
  <cols>
    <col min="1" max="1" width="4" style="1" customWidth="1"/>
    <col min="2" max="2" width="37.140625" style="1" customWidth="1"/>
    <col min="3" max="3" width="9.7109375" bestFit="1" customWidth="1"/>
    <col min="4" max="4" width="5.5703125" style="63" customWidth="1"/>
    <col min="5" max="5" width="13.140625" style="66" customWidth="1"/>
    <col min="6" max="6" width="22.85546875" customWidth="1"/>
    <col min="7" max="7" width="20.7109375" customWidth="1"/>
  </cols>
  <sheetData>
    <row r="1" spans="1:18" s="88" customFormat="1" x14ac:dyDescent="0.25">
      <c r="A1" s="89"/>
      <c r="B1" s="89"/>
      <c r="D1" s="91"/>
      <c r="E1" s="93"/>
    </row>
    <row r="2" spans="1:18" s="88" customFormat="1" x14ac:dyDescent="0.25">
      <c r="A2" s="89"/>
      <c r="B2" s="89"/>
      <c r="D2" s="91"/>
      <c r="E2" s="93"/>
    </row>
    <row r="3" spans="1:18" s="88" customFormat="1" ht="15.75" x14ac:dyDescent="0.25">
      <c r="A3" s="424">
        <f ca="1">TODAY()</f>
        <v>43160</v>
      </c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94"/>
      <c r="Q3" s="94"/>
      <c r="R3" s="94"/>
    </row>
    <row r="4" spans="1:18" s="5" customFormat="1" ht="6" customHeight="1" x14ac:dyDescent="0.25">
      <c r="A4" s="30"/>
      <c r="B4" s="30"/>
      <c r="D4" s="59"/>
      <c r="E4" s="68"/>
    </row>
    <row r="5" spans="1:18" s="2" customFormat="1" x14ac:dyDescent="0.25">
      <c r="A5" s="31"/>
      <c r="B5" s="31"/>
      <c r="D5" s="60"/>
      <c r="E5" s="69"/>
    </row>
    <row r="6" spans="1:18" s="2" customFormat="1" x14ac:dyDescent="0.25">
      <c r="A6" s="31"/>
      <c r="B6" s="31"/>
      <c r="D6" s="60"/>
      <c r="E6" s="69"/>
    </row>
    <row r="7" spans="1:18" s="2" customFormat="1" x14ac:dyDescent="0.25">
      <c r="A7" s="31"/>
      <c r="B7" s="31"/>
      <c r="D7" s="60"/>
      <c r="E7" s="69"/>
    </row>
    <row r="8" spans="1:18" s="3" customFormat="1" x14ac:dyDescent="0.25">
      <c r="A8" s="32"/>
      <c r="B8" s="32"/>
      <c r="D8" s="61"/>
      <c r="E8" s="70"/>
    </row>
    <row r="9" spans="1:18" x14ac:dyDescent="0.25">
      <c r="A9" s="57" t="s">
        <v>54</v>
      </c>
      <c r="B9" s="64">
        <v>18</v>
      </c>
      <c r="C9" s="55" t="s">
        <v>53</v>
      </c>
      <c r="D9" s="65">
        <f>COUNTIF('Vender (2)'!N12:N24,"")</f>
        <v>13</v>
      </c>
      <c r="E9" s="71"/>
      <c r="F9" s="56" t="s">
        <v>55</v>
      </c>
      <c r="G9" s="56"/>
      <c r="H9" s="56"/>
    </row>
    <row r="10" spans="1:18" x14ac:dyDescent="0.25">
      <c r="A10" s="1" t="s">
        <v>56</v>
      </c>
      <c r="B10" s="1" t="s">
        <v>105</v>
      </c>
      <c r="D10" s="62"/>
      <c r="E10" s="72">
        <v>42989</v>
      </c>
    </row>
    <row r="11" spans="1:18" x14ac:dyDescent="0.25">
      <c r="A11" s="1">
        <v>1</v>
      </c>
      <c r="B11" s="1" t="s">
        <v>14</v>
      </c>
      <c r="C11">
        <v>50</v>
      </c>
      <c r="D11" s="62" t="s">
        <v>28</v>
      </c>
      <c r="E11" s="73">
        <v>2500</v>
      </c>
    </row>
    <row r="12" spans="1:18" x14ac:dyDescent="0.25">
      <c r="A12" s="1">
        <v>2</v>
      </c>
      <c r="B12" s="1" t="s">
        <v>14</v>
      </c>
      <c r="C12">
        <v>50</v>
      </c>
      <c r="D12" s="62" t="s">
        <v>28</v>
      </c>
      <c r="E12" s="73">
        <v>2500</v>
      </c>
    </row>
    <row r="13" spans="1:18" x14ac:dyDescent="0.25">
      <c r="A13" s="1" t="s">
        <v>56</v>
      </c>
      <c r="B13" s="1" t="s">
        <v>106</v>
      </c>
      <c r="D13" s="62"/>
      <c r="E13" s="80">
        <v>42989</v>
      </c>
    </row>
    <row r="14" spans="1:18" x14ac:dyDescent="0.25">
      <c r="A14" s="1">
        <v>1</v>
      </c>
      <c r="B14" s="1" t="s">
        <v>18</v>
      </c>
      <c r="C14">
        <v>45</v>
      </c>
      <c r="D14" s="62" t="s">
        <v>28</v>
      </c>
      <c r="E14" s="73">
        <v>2430</v>
      </c>
    </row>
    <row r="15" spans="1:18" x14ac:dyDescent="0.25">
      <c r="A15" s="1" t="s">
        <v>56</v>
      </c>
      <c r="B15" s="1" t="s">
        <v>117</v>
      </c>
      <c r="D15" s="62"/>
      <c r="E15" s="80">
        <v>43053</v>
      </c>
      <c r="L15" s="1"/>
    </row>
    <row r="16" spans="1:18" x14ac:dyDescent="0.25">
      <c r="A16" s="1">
        <v>1</v>
      </c>
      <c r="B16" s="1" t="s">
        <v>14</v>
      </c>
      <c r="C16">
        <v>150</v>
      </c>
      <c r="D16" s="62" t="s">
        <v>28</v>
      </c>
      <c r="E16" s="73">
        <v>7500</v>
      </c>
    </row>
    <row r="17" spans="1:5" x14ac:dyDescent="0.25">
      <c r="A17" s="1">
        <v>2</v>
      </c>
      <c r="B17" s="1" t="s">
        <v>17</v>
      </c>
      <c r="C17">
        <v>100</v>
      </c>
      <c r="D17" s="62" t="s">
        <v>28</v>
      </c>
      <c r="E17" s="73">
        <v>5300</v>
      </c>
    </row>
    <row r="18" spans="1:5" x14ac:dyDescent="0.25">
      <c r="D18" s="62"/>
      <c r="E18" s="73"/>
    </row>
    <row r="19" spans="1:5" x14ac:dyDescent="0.25">
      <c r="D19" s="62"/>
      <c r="E19" s="73"/>
    </row>
    <row r="20" spans="1:5" x14ac:dyDescent="0.25">
      <c r="D20" s="62"/>
      <c r="E20" s="80"/>
    </row>
    <row r="21" spans="1:5" x14ac:dyDescent="0.25">
      <c r="D21" s="62"/>
      <c r="E21" s="73"/>
    </row>
    <row r="22" spans="1:5" x14ac:dyDescent="0.25">
      <c r="D22" s="62"/>
      <c r="E22" s="73"/>
    </row>
    <row r="23" spans="1:5" x14ac:dyDescent="0.25">
      <c r="D23" s="62"/>
      <c r="E23" s="73"/>
    </row>
    <row r="24" spans="1:5" x14ac:dyDescent="0.25">
      <c r="D24" s="62"/>
      <c r="E24" s="73"/>
    </row>
    <row r="25" spans="1:5" x14ac:dyDescent="0.25">
      <c r="D25" s="62"/>
      <c r="E25" s="73"/>
    </row>
    <row r="26" spans="1:5" x14ac:dyDescent="0.25">
      <c r="D26" s="62"/>
      <c r="E26" s="72"/>
    </row>
    <row r="27" spans="1:5" x14ac:dyDescent="0.25">
      <c r="D27" s="62"/>
      <c r="E27" s="73"/>
    </row>
    <row r="28" spans="1:5" x14ac:dyDescent="0.25">
      <c r="D28" s="62"/>
      <c r="E28" s="80"/>
    </row>
    <row r="29" spans="1:5" x14ac:dyDescent="0.25">
      <c r="D29" s="62"/>
      <c r="E29" s="73"/>
    </row>
    <row r="30" spans="1:5" x14ac:dyDescent="0.25">
      <c r="D30" s="62"/>
      <c r="E30" s="73"/>
    </row>
    <row r="31" spans="1:5" x14ac:dyDescent="0.25">
      <c r="D31" s="62"/>
      <c r="E31" s="73"/>
    </row>
    <row r="32" spans="1:5" x14ac:dyDescent="0.25">
      <c r="D32" s="62"/>
      <c r="E32" s="73"/>
    </row>
    <row r="33" spans="1:5" x14ac:dyDescent="0.25">
      <c r="D33" s="62"/>
      <c r="E33" s="73"/>
    </row>
    <row r="34" spans="1:5" x14ac:dyDescent="0.25">
      <c r="D34" s="62"/>
      <c r="E34" s="73"/>
    </row>
    <row r="35" spans="1:5" x14ac:dyDescent="0.25">
      <c r="D35" s="62"/>
      <c r="E35" s="73"/>
    </row>
    <row r="36" spans="1:5" x14ac:dyDescent="0.25">
      <c r="D36" s="62"/>
      <c r="E36" s="73"/>
    </row>
    <row r="37" spans="1:5" x14ac:dyDescent="0.25">
      <c r="D37" s="62"/>
      <c r="E37" s="73"/>
    </row>
    <row r="38" spans="1:5" x14ac:dyDescent="0.25">
      <c r="D38" s="62"/>
      <c r="E38" s="72"/>
    </row>
    <row r="39" spans="1:5" x14ac:dyDescent="0.25">
      <c r="D39" s="62"/>
      <c r="E39" s="73"/>
    </row>
    <row r="40" spans="1:5" x14ac:dyDescent="0.25">
      <c r="D40" s="62"/>
      <c r="E40" s="73"/>
    </row>
    <row r="41" spans="1:5" x14ac:dyDescent="0.25">
      <c r="D41" s="62"/>
      <c r="E41" s="73"/>
    </row>
    <row r="42" spans="1:5" x14ac:dyDescent="0.25">
      <c r="E42" s="72"/>
    </row>
    <row r="43" spans="1:5" x14ac:dyDescent="0.25">
      <c r="E43" s="73"/>
    </row>
    <row r="44" spans="1:5" ht="15" customHeight="1" x14ac:dyDescent="0.25">
      <c r="A44"/>
      <c r="B44"/>
      <c r="D44"/>
      <c r="E44"/>
    </row>
    <row r="45" spans="1:5" x14ac:dyDescent="0.25">
      <c r="A45"/>
      <c r="B45"/>
      <c r="D45"/>
      <c r="E45"/>
    </row>
    <row r="46" spans="1:5" x14ac:dyDescent="0.25">
      <c r="A46"/>
      <c r="B46"/>
      <c r="D46"/>
      <c r="E46"/>
    </row>
    <row r="47" spans="1:5" x14ac:dyDescent="0.25">
      <c r="A47"/>
      <c r="B47"/>
      <c r="D47"/>
      <c r="E47"/>
    </row>
    <row r="48" spans="1:5" x14ac:dyDescent="0.25">
      <c r="A48"/>
      <c r="B48"/>
      <c r="D48"/>
      <c r="E48"/>
    </row>
    <row r="49" spans="1:5" x14ac:dyDescent="0.25">
      <c r="A49"/>
      <c r="B49"/>
      <c r="D49"/>
      <c r="E49"/>
    </row>
    <row r="50" spans="1:5" x14ac:dyDescent="0.25">
      <c r="A50"/>
      <c r="B50"/>
      <c r="D50"/>
      <c r="E50"/>
    </row>
    <row r="51" spans="1:5" x14ac:dyDescent="0.25">
      <c r="A51"/>
      <c r="B51"/>
      <c r="D51"/>
      <c r="E51"/>
    </row>
    <row r="52" spans="1:5" x14ac:dyDescent="0.25">
      <c r="A52"/>
      <c r="B52"/>
      <c r="D52"/>
      <c r="E52"/>
    </row>
    <row r="53" spans="1:5" x14ac:dyDescent="0.25">
      <c r="A53"/>
      <c r="B53"/>
      <c r="D53"/>
      <c r="E53"/>
    </row>
    <row r="54" spans="1:5" x14ac:dyDescent="0.25">
      <c r="A54"/>
      <c r="B54"/>
      <c r="D54"/>
      <c r="E54"/>
    </row>
    <row r="55" spans="1:5" x14ac:dyDescent="0.25">
      <c r="A55"/>
      <c r="B55"/>
      <c r="D55"/>
      <c r="E55"/>
    </row>
    <row r="56" spans="1:5" x14ac:dyDescent="0.25">
      <c r="A56"/>
      <c r="B56"/>
      <c r="D56"/>
      <c r="E56"/>
    </row>
    <row r="57" spans="1:5" x14ac:dyDescent="0.25">
      <c r="A57"/>
      <c r="B57"/>
      <c r="D57"/>
      <c r="E57"/>
    </row>
    <row r="58" spans="1:5" x14ac:dyDescent="0.25">
      <c r="A58"/>
      <c r="B58"/>
      <c r="D58"/>
      <c r="E58"/>
    </row>
    <row r="59" spans="1:5" x14ac:dyDescent="0.25">
      <c r="A59"/>
      <c r="B59"/>
      <c r="D59"/>
      <c r="E59"/>
    </row>
    <row r="60" spans="1:5" x14ac:dyDescent="0.25">
      <c r="A60"/>
      <c r="B60"/>
      <c r="D60"/>
      <c r="E60"/>
    </row>
  </sheetData>
  <mergeCells count="1">
    <mergeCell ref="A3:O3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tDadosAssociados">
    <pageSetUpPr autoPageBreaks="0"/>
  </sheetPr>
  <dimension ref="A1:XEZ99"/>
  <sheetViews>
    <sheetView showGridLines="0" showRowColHeaders="0" showZeros="0" zoomScaleNormal="100" workbookViewId="0"/>
  </sheetViews>
  <sheetFormatPr defaultColWidth="0.7109375" defaultRowHeight="0" customHeight="1" zeroHeight="1" x14ac:dyDescent="0.25"/>
  <cols>
    <col min="1" max="1" width="4.5703125" style="1" customWidth="1"/>
    <col min="2" max="2" width="52.7109375" style="62" customWidth="1"/>
    <col min="3" max="3" width="19.42578125" style="169" customWidth="1"/>
    <col min="4" max="4" width="13.7109375" style="62" customWidth="1"/>
    <col min="5" max="5" width="24.5703125" style="1" customWidth="1"/>
    <col min="6" max="6" width="7.7109375" style="1" customWidth="1"/>
    <col min="7" max="7" width="15" style="1" customWidth="1"/>
    <col min="8" max="8" width="19.28515625" style="1" customWidth="1"/>
    <col min="9" max="9" width="18.5703125" style="1" customWidth="1"/>
    <col min="10" max="10" width="3.85546875" style="1" customWidth="1"/>
    <col min="11" max="11" width="11.140625" customWidth="1"/>
    <col min="12" max="12" width="4.7109375" style="1" customWidth="1"/>
    <col min="13" max="13" width="2.28515625" customWidth="1"/>
    <col min="14" max="15" width="0" hidden="1"/>
    <col min="16" max="16380" width="9.140625" hidden="1"/>
    <col min="16381" max="16384" width="0.7109375" customWidth="1"/>
  </cols>
  <sheetData>
    <row r="1" spans="1:16" s="25" customFormat="1" ht="15" x14ac:dyDescent="0.25">
      <c r="A1" s="25">
        <v>3</v>
      </c>
      <c r="C1" s="159"/>
      <c r="L1" s="29"/>
      <c r="M1" s="75"/>
      <c r="N1" s="58"/>
      <c r="O1" s="29"/>
    </row>
    <row r="2" spans="1:16" s="25" customFormat="1" ht="15" x14ac:dyDescent="0.25">
      <c r="C2" s="159"/>
      <c r="L2" s="29"/>
      <c r="M2" s="75"/>
      <c r="N2" s="58"/>
      <c r="O2" s="29"/>
    </row>
    <row r="3" spans="1:16" s="123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26"/>
      <c r="M3" s="26"/>
      <c r="N3" s="26"/>
      <c r="O3" s="26"/>
      <c r="P3" s="26"/>
    </row>
    <row r="4" spans="1:16" s="5" customFormat="1" ht="6" customHeight="1" x14ac:dyDescent="0.25">
      <c r="C4" s="160"/>
      <c r="L4" s="30"/>
      <c r="M4" s="76"/>
      <c r="N4" s="59"/>
      <c r="O4" s="30"/>
    </row>
    <row r="5" spans="1:16" s="2" customFormat="1" ht="15" x14ac:dyDescent="0.25">
      <c r="C5" s="161"/>
      <c r="L5" s="31"/>
      <c r="M5" s="77"/>
      <c r="N5" s="60"/>
      <c r="O5" s="31"/>
    </row>
    <row r="6" spans="1:16" s="2" customFormat="1" ht="15" x14ac:dyDescent="0.25">
      <c r="C6" s="161"/>
      <c r="L6" s="31"/>
      <c r="M6" s="77"/>
      <c r="N6" s="60"/>
      <c r="O6" s="31"/>
    </row>
    <row r="7" spans="1:16" s="2" customFormat="1" ht="15" x14ac:dyDescent="0.25">
      <c r="C7" s="161"/>
      <c r="L7" s="31"/>
      <c r="M7" s="77"/>
      <c r="N7" s="60"/>
      <c r="O7" s="31"/>
    </row>
    <row r="8" spans="1:16" s="3" customFormat="1" ht="30.75" customHeight="1" x14ac:dyDescent="0.25">
      <c r="A8" s="156"/>
      <c r="B8" s="156"/>
      <c r="C8" s="162"/>
      <c r="L8" s="32"/>
      <c r="M8" s="78"/>
      <c r="N8" s="61"/>
      <c r="O8" s="32"/>
    </row>
    <row r="9" spans="1:16" s="124" customFormat="1" ht="15" x14ac:dyDescent="0.25">
      <c r="A9" s="157"/>
      <c r="B9" s="155" t="s">
        <v>75</v>
      </c>
      <c r="C9" s="163" t="s">
        <v>2</v>
      </c>
      <c r="D9" s="128" t="s">
        <v>3</v>
      </c>
      <c r="E9" s="8" t="s">
        <v>67</v>
      </c>
      <c r="F9" s="8" t="s">
        <v>68</v>
      </c>
      <c r="G9" s="8" t="s">
        <v>72</v>
      </c>
      <c r="H9" s="8" t="s">
        <v>69</v>
      </c>
      <c r="I9" s="8" t="s">
        <v>70</v>
      </c>
      <c r="J9" s="8" t="s">
        <v>71</v>
      </c>
      <c r="K9" s="125"/>
      <c r="L9" s="125"/>
      <c r="M9" s="126"/>
    </row>
    <row r="10" spans="1:16" s="134" customFormat="1" ht="15" x14ac:dyDescent="0.25">
      <c r="A10" s="132">
        <v>2</v>
      </c>
      <c r="B10" s="133" t="s">
        <v>139</v>
      </c>
      <c r="C10" s="164" t="s">
        <v>140</v>
      </c>
      <c r="D10" s="133" t="s">
        <v>140</v>
      </c>
      <c r="E10" s="132" t="s">
        <v>141</v>
      </c>
      <c r="F10" s="132" t="s">
        <v>140</v>
      </c>
      <c r="G10" s="132" t="s">
        <v>140</v>
      </c>
      <c r="H10" s="132" t="s">
        <v>140</v>
      </c>
      <c r="I10" s="132" t="s">
        <v>140</v>
      </c>
      <c r="J10" s="132" t="s">
        <v>140</v>
      </c>
    </row>
    <row r="11" spans="1:16" s="134" customFormat="1" ht="15" x14ac:dyDescent="0.25">
      <c r="A11" s="132">
        <v>9</v>
      </c>
      <c r="B11" s="133" t="s">
        <v>118</v>
      </c>
      <c r="C11" s="164" t="s">
        <v>119</v>
      </c>
      <c r="D11" s="133">
        <v>0</v>
      </c>
      <c r="E11" s="132" t="s">
        <v>122</v>
      </c>
      <c r="F11" s="132" t="s">
        <v>120</v>
      </c>
      <c r="G11" s="132"/>
      <c r="H11" s="132" t="s">
        <v>121</v>
      </c>
      <c r="I11" s="132" t="s">
        <v>93</v>
      </c>
      <c r="J11" s="132" t="s">
        <v>66</v>
      </c>
    </row>
    <row r="12" spans="1:16" s="134" customFormat="1" ht="15" x14ac:dyDescent="0.25">
      <c r="A12" s="132">
        <v>10</v>
      </c>
      <c r="B12" s="133" t="s">
        <v>123</v>
      </c>
      <c r="C12" s="164" t="s">
        <v>124</v>
      </c>
      <c r="D12" s="133" t="s">
        <v>125</v>
      </c>
      <c r="E12" s="132" t="s">
        <v>126</v>
      </c>
      <c r="F12" s="132" t="s">
        <v>127</v>
      </c>
      <c r="G12" s="132"/>
      <c r="H12" s="132" t="s">
        <v>128</v>
      </c>
      <c r="I12" s="132" t="s">
        <v>129</v>
      </c>
      <c r="J12" s="132" t="s">
        <v>130</v>
      </c>
    </row>
    <row r="13" spans="1:16" s="134" customFormat="1" ht="15" x14ac:dyDescent="0.25">
      <c r="A13" s="132">
        <v>13</v>
      </c>
      <c r="B13" s="133" t="s">
        <v>131</v>
      </c>
      <c r="C13" s="164" t="s">
        <v>132</v>
      </c>
      <c r="D13" s="133">
        <v>2</v>
      </c>
      <c r="E13" s="132">
        <v>2</v>
      </c>
      <c r="F13" s="132">
        <v>615</v>
      </c>
      <c r="G13" s="132">
        <v>166</v>
      </c>
      <c r="H13" s="132">
        <v>16</v>
      </c>
      <c r="I13" s="132">
        <v>1</v>
      </c>
      <c r="J13" s="132">
        <v>5616</v>
      </c>
    </row>
    <row r="14" spans="1:16" s="134" customFormat="1" ht="15" x14ac:dyDescent="0.25">
      <c r="A14" s="132">
        <v>13</v>
      </c>
      <c r="B14" s="133" t="s">
        <v>91</v>
      </c>
      <c r="C14" s="164" t="s">
        <v>92</v>
      </c>
      <c r="D14" s="133">
        <v>1</v>
      </c>
      <c r="E14" s="132">
        <v>1</v>
      </c>
      <c r="F14" s="132">
        <v>1</v>
      </c>
      <c r="G14" s="132">
        <v>1</v>
      </c>
      <c r="H14" s="132">
        <v>1</v>
      </c>
      <c r="I14" s="132">
        <v>1</v>
      </c>
      <c r="J14" s="132">
        <v>1</v>
      </c>
    </row>
    <row r="15" spans="1:16" s="134" customFormat="1" ht="15" x14ac:dyDescent="0.25">
      <c r="A15" s="132">
        <v>2</v>
      </c>
      <c r="B15" s="133" t="s">
        <v>74</v>
      </c>
      <c r="C15" s="164" t="s">
        <v>73</v>
      </c>
      <c r="D15" s="133" t="s">
        <v>73</v>
      </c>
      <c r="E15" s="132" t="s">
        <v>73</v>
      </c>
      <c r="F15" s="132" t="s">
        <v>73</v>
      </c>
      <c r="G15" s="132"/>
      <c r="H15" s="132" t="s">
        <v>73</v>
      </c>
      <c r="I15" s="132" t="s">
        <v>73</v>
      </c>
      <c r="J15" s="132" t="s">
        <v>66</v>
      </c>
    </row>
    <row r="16" spans="1:16" s="4" customFormat="1" ht="15" x14ac:dyDescent="0.25">
      <c r="A16" s="33"/>
      <c r="B16" s="129"/>
      <c r="C16" s="165"/>
      <c r="D16" s="129"/>
      <c r="E16" s="33"/>
      <c r="F16" s="33"/>
      <c r="G16" s="33"/>
      <c r="H16" s="33"/>
      <c r="I16" s="33"/>
      <c r="J16" s="33"/>
    </row>
    <row r="17" spans="1:12" s="4" customFormat="1" ht="15" x14ac:dyDescent="0.25">
      <c r="A17" s="33"/>
      <c r="B17" s="129"/>
      <c r="C17" s="165"/>
      <c r="D17" s="129"/>
      <c r="E17" s="33"/>
      <c r="F17" s="33"/>
      <c r="G17" s="33"/>
      <c r="H17" s="33"/>
      <c r="I17" s="33"/>
      <c r="J17" s="33"/>
    </row>
    <row r="18" spans="1:12" s="4" customFormat="1" ht="15" x14ac:dyDescent="0.25">
      <c r="A18" s="33"/>
      <c r="B18" s="129"/>
      <c r="C18" s="165"/>
      <c r="D18" s="129"/>
      <c r="E18" s="33"/>
      <c r="F18" s="33"/>
      <c r="G18" s="33"/>
      <c r="H18" s="33"/>
      <c r="I18" s="33"/>
      <c r="J18" s="33"/>
    </row>
    <row r="19" spans="1:12" s="4" customFormat="1" ht="15" x14ac:dyDescent="0.25">
      <c r="A19" s="33"/>
      <c r="B19" s="129"/>
      <c r="C19" s="165"/>
      <c r="D19" s="129"/>
      <c r="E19" s="33"/>
      <c r="F19" s="33"/>
      <c r="G19" s="33"/>
      <c r="H19" s="33"/>
      <c r="I19" s="33"/>
      <c r="J19" s="33"/>
    </row>
    <row r="20" spans="1:12" s="4" customFormat="1" ht="15" x14ac:dyDescent="0.25">
      <c r="A20" s="33"/>
      <c r="B20" s="129"/>
      <c r="C20" s="165"/>
      <c r="D20" s="129"/>
      <c r="E20" s="33"/>
      <c r="F20" s="33"/>
      <c r="G20" s="33"/>
      <c r="H20" s="33"/>
      <c r="I20" s="33"/>
      <c r="J20" s="33"/>
    </row>
    <row r="21" spans="1:12" s="4" customFormat="1" ht="15" x14ac:dyDescent="0.25">
      <c r="A21" s="33"/>
      <c r="B21" s="129"/>
      <c r="C21" s="165"/>
      <c r="D21" s="129"/>
      <c r="E21" s="33"/>
      <c r="F21" s="33"/>
      <c r="G21" s="33"/>
      <c r="H21" s="33"/>
      <c r="I21" s="33"/>
      <c r="J21" s="33"/>
    </row>
    <row r="22" spans="1:12" s="4" customFormat="1" ht="15" x14ac:dyDescent="0.25">
      <c r="A22" s="33"/>
      <c r="B22" s="129"/>
      <c r="C22" s="165"/>
      <c r="D22" s="129"/>
      <c r="E22" s="33"/>
      <c r="F22" s="33"/>
      <c r="G22" s="33"/>
      <c r="H22" s="33"/>
      <c r="I22" s="33"/>
      <c r="J22" s="33"/>
    </row>
    <row r="23" spans="1:12" s="4" customFormat="1" ht="15" x14ac:dyDescent="0.25">
      <c r="A23" s="33"/>
      <c r="B23" s="129"/>
      <c r="C23" s="165"/>
      <c r="D23" s="129"/>
      <c r="E23" s="33"/>
      <c r="F23" s="33"/>
      <c r="G23" s="33"/>
      <c r="H23" s="33"/>
      <c r="I23" s="33"/>
      <c r="J23" s="33"/>
    </row>
    <row r="24" spans="1:12" s="4" customFormat="1" ht="15" x14ac:dyDescent="0.25">
      <c r="A24" s="33"/>
      <c r="B24" s="129"/>
      <c r="C24" s="165"/>
      <c r="D24" s="129"/>
      <c r="E24" s="33"/>
      <c r="F24" s="33"/>
      <c r="G24" s="33"/>
      <c r="H24" s="33"/>
      <c r="I24" s="33"/>
      <c r="J24" s="33"/>
    </row>
    <row r="25" spans="1:12" s="127" customFormat="1" ht="15" x14ac:dyDescent="0.25">
      <c r="A25" s="130"/>
      <c r="B25" s="131"/>
      <c r="C25" s="166"/>
      <c r="D25" s="131"/>
      <c r="E25" s="130"/>
      <c r="F25" s="130"/>
      <c r="G25" s="130"/>
      <c r="H25" s="130"/>
      <c r="I25" s="130"/>
      <c r="J25" s="130"/>
    </row>
    <row r="26" spans="1:12" s="5" customFormat="1" ht="6" customHeight="1" x14ac:dyDescent="0.25">
      <c r="A26" s="30"/>
      <c r="B26" s="59"/>
      <c r="C26" s="167"/>
      <c r="D26" s="59"/>
      <c r="E26" s="30"/>
      <c r="F26" s="30"/>
      <c r="G26" s="30"/>
      <c r="H26" s="30"/>
      <c r="I26" s="30"/>
      <c r="J26" s="30"/>
      <c r="L26" s="30"/>
    </row>
    <row r="27" spans="1:12" s="25" customFormat="1" ht="15" x14ac:dyDescent="0.25">
      <c r="A27" s="29"/>
      <c r="B27" s="58"/>
      <c r="C27" s="168"/>
      <c r="D27" s="58"/>
      <c r="E27" s="29"/>
      <c r="F27" s="29"/>
      <c r="G27" s="29"/>
      <c r="H27" s="29"/>
      <c r="I27" s="29"/>
      <c r="J27" s="29"/>
      <c r="L27" s="29"/>
    </row>
    <row r="28" spans="1:12" s="25" customFormat="1" ht="15" x14ac:dyDescent="0.25">
      <c r="A28" s="29"/>
      <c r="B28" s="58"/>
      <c r="C28" s="168"/>
      <c r="D28" s="58"/>
      <c r="E28" s="29"/>
      <c r="F28" s="29"/>
      <c r="G28" s="29"/>
      <c r="H28" s="29"/>
      <c r="I28" s="29"/>
      <c r="J28" s="29"/>
      <c r="L28" s="29"/>
    </row>
    <row r="29" spans="1:12" s="25" customFormat="1" ht="15" x14ac:dyDescent="0.25">
      <c r="A29" s="29"/>
      <c r="B29" s="58"/>
      <c r="C29" s="168"/>
      <c r="D29" s="58"/>
      <c r="E29" s="29"/>
      <c r="F29" s="29"/>
      <c r="G29" s="29"/>
      <c r="H29" s="29"/>
      <c r="I29" s="29"/>
      <c r="J29" s="29"/>
      <c r="L29" s="29"/>
    </row>
    <row r="30" spans="1:12" s="25" customFormat="1" ht="15" x14ac:dyDescent="0.25">
      <c r="A30" s="29"/>
      <c r="B30" s="58"/>
      <c r="C30" s="168"/>
      <c r="D30" s="58"/>
      <c r="E30" s="29"/>
      <c r="F30" s="29"/>
      <c r="G30" s="29"/>
      <c r="H30" s="29"/>
      <c r="I30" s="29"/>
      <c r="J30" s="29"/>
      <c r="L30" s="29"/>
    </row>
    <row r="31" spans="1:12" s="25" customFormat="1" ht="15" x14ac:dyDescent="0.25">
      <c r="A31" s="29"/>
      <c r="B31" s="58"/>
      <c r="C31" s="168"/>
      <c r="D31" s="58"/>
      <c r="E31" s="29"/>
      <c r="F31" s="29"/>
      <c r="G31" s="29"/>
      <c r="H31" s="29"/>
      <c r="I31" s="29"/>
      <c r="J31" s="29"/>
      <c r="L31" s="29"/>
    </row>
    <row r="32" spans="1:12" s="25" customFormat="1" ht="15" x14ac:dyDescent="0.25">
      <c r="A32" s="29"/>
      <c r="B32" s="58"/>
      <c r="C32" s="168"/>
      <c r="D32" s="58"/>
      <c r="E32" s="29"/>
      <c r="F32" s="29"/>
      <c r="G32" s="29"/>
      <c r="H32" s="29"/>
      <c r="I32" s="29"/>
      <c r="J32" s="29"/>
      <c r="L32" s="29"/>
    </row>
    <row r="33" spans="1:12" s="25" customFormat="1" ht="81.75" customHeight="1" x14ac:dyDescent="0.25">
      <c r="A33" s="29"/>
      <c r="B33" s="58"/>
      <c r="C33" s="168"/>
      <c r="D33" s="58"/>
      <c r="E33" s="29"/>
      <c r="F33" s="29"/>
      <c r="G33" s="29"/>
      <c r="H33" s="29"/>
      <c r="I33" s="29"/>
      <c r="J33" s="29"/>
      <c r="L33" s="29"/>
    </row>
    <row r="34" spans="1:12" s="25" customFormat="1" ht="15" x14ac:dyDescent="0.25">
      <c r="A34" s="29"/>
      <c r="B34" s="58"/>
      <c r="C34" s="168"/>
      <c r="D34" s="58"/>
      <c r="E34" s="29"/>
      <c r="F34" s="29"/>
      <c r="G34" s="29"/>
      <c r="H34" s="29"/>
      <c r="I34" s="29"/>
      <c r="J34" s="29"/>
      <c r="L34" s="29"/>
    </row>
    <row r="35" spans="1:12" s="25" customFormat="1" ht="15" hidden="1" x14ac:dyDescent="0.25">
      <c r="A35" s="29"/>
      <c r="B35" s="58"/>
      <c r="C35" s="168"/>
      <c r="D35" s="58"/>
      <c r="E35" s="29"/>
      <c r="F35" s="29"/>
      <c r="G35" s="29"/>
      <c r="H35" s="29"/>
      <c r="I35" s="29"/>
      <c r="J35" s="29"/>
      <c r="L35" s="29"/>
    </row>
    <row r="36" spans="1:12" s="25" customFormat="1" ht="15" hidden="1" x14ac:dyDescent="0.25">
      <c r="A36" s="29"/>
      <c r="B36" s="58"/>
      <c r="C36" s="168"/>
      <c r="D36" s="58"/>
      <c r="E36" s="29"/>
      <c r="F36" s="29"/>
      <c r="G36" s="29"/>
      <c r="H36" s="29"/>
      <c r="I36" s="29"/>
      <c r="J36" s="29"/>
      <c r="L36" s="29"/>
    </row>
    <row r="37" spans="1:12" s="25" customFormat="1" ht="15" hidden="1" x14ac:dyDescent="0.25">
      <c r="A37" s="29"/>
      <c r="B37" s="58"/>
      <c r="C37" s="168"/>
      <c r="D37" s="58"/>
      <c r="E37" s="29"/>
      <c r="F37" s="29"/>
      <c r="G37" s="29"/>
      <c r="H37" s="29"/>
      <c r="I37" s="29"/>
      <c r="J37" s="29"/>
      <c r="L37" s="29"/>
    </row>
    <row r="38" spans="1:12" s="25" customFormat="1" ht="15" hidden="1" x14ac:dyDescent="0.25">
      <c r="A38" s="29"/>
      <c r="B38" s="58"/>
      <c r="C38" s="168"/>
      <c r="D38" s="58"/>
      <c r="E38" s="29"/>
      <c r="F38" s="29"/>
      <c r="G38" s="29"/>
      <c r="H38" s="29"/>
      <c r="I38" s="29"/>
      <c r="J38" s="29"/>
      <c r="L38" s="29"/>
    </row>
    <row r="39" spans="1:12" s="25" customFormat="1" ht="15" hidden="1" x14ac:dyDescent="0.25">
      <c r="A39" s="29"/>
      <c r="B39" s="58"/>
      <c r="C39" s="168"/>
      <c r="D39" s="58"/>
      <c r="E39" s="29"/>
      <c r="F39" s="29"/>
      <c r="G39" s="29"/>
      <c r="H39" s="29"/>
      <c r="I39" s="29"/>
      <c r="J39" s="29"/>
      <c r="L39" s="29"/>
    </row>
    <row r="40" spans="1:12" s="25" customFormat="1" ht="15" hidden="1" x14ac:dyDescent="0.25">
      <c r="A40" s="29"/>
      <c r="B40" s="58"/>
      <c r="C40" s="168"/>
      <c r="D40" s="58"/>
      <c r="E40" s="29"/>
      <c r="F40" s="29"/>
      <c r="G40" s="29"/>
      <c r="H40" s="29"/>
      <c r="I40" s="29"/>
      <c r="J40" s="29"/>
      <c r="L40" s="29"/>
    </row>
    <row r="41" spans="1:12" s="25" customFormat="1" ht="15" hidden="1" x14ac:dyDescent="0.25">
      <c r="A41" s="29"/>
      <c r="B41" s="58"/>
      <c r="C41" s="168"/>
      <c r="D41" s="58"/>
      <c r="E41" s="29"/>
      <c r="F41" s="29"/>
      <c r="G41" s="29"/>
      <c r="H41" s="29"/>
      <c r="I41" s="29"/>
      <c r="J41" s="29"/>
      <c r="L41" s="29"/>
    </row>
    <row r="42" spans="1:12" s="25" customFormat="1" ht="15" hidden="1" x14ac:dyDescent="0.25">
      <c r="A42" s="29"/>
      <c r="B42" s="58"/>
      <c r="C42" s="168"/>
      <c r="D42" s="58"/>
      <c r="E42" s="29"/>
      <c r="F42" s="29"/>
      <c r="G42" s="29"/>
      <c r="H42" s="29"/>
      <c r="I42" s="29"/>
      <c r="J42" s="29"/>
      <c r="L42" s="29"/>
    </row>
    <row r="43" spans="1:12" s="25" customFormat="1" ht="15" hidden="1" x14ac:dyDescent="0.25">
      <c r="A43" s="29"/>
      <c r="B43" s="58"/>
      <c r="C43" s="168"/>
      <c r="D43" s="58"/>
      <c r="E43" s="29"/>
      <c r="F43" s="29"/>
      <c r="G43" s="29"/>
      <c r="H43" s="29"/>
      <c r="I43" s="29"/>
      <c r="J43" s="29"/>
      <c r="L43" s="29"/>
    </row>
    <row r="44" spans="1:12" s="25" customFormat="1" ht="15" hidden="1" x14ac:dyDescent="0.25">
      <c r="A44" s="29"/>
      <c r="B44" s="58"/>
      <c r="C44" s="168"/>
      <c r="D44" s="58"/>
      <c r="E44" s="29"/>
      <c r="F44" s="29"/>
      <c r="G44" s="29"/>
      <c r="H44" s="29"/>
      <c r="I44" s="29"/>
      <c r="J44" s="29"/>
      <c r="L44" s="29"/>
    </row>
    <row r="45" spans="1:12" s="25" customFormat="1" ht="15" hidden="1" x14ac:dyDescent="0.25">
      <c r="A45" s="29"/>
      <c r="B45" s="58"/>
      <c r="C45" s="168"/>
      <c r="D45" s="58"/>
      <c r="E45" s="29"/>
      <c r="F45" s="29"/>
      <c r="G45" s="29"/>
      <c r="H45" s="29"/>
      <c r="I45" s="29"/>
      <c r="J45" s="29"/>
      <c r="L45" s="29"/>
    </row>
    <row r="46" spans="1:12" ht="15" hidden="1" customHeight="1" x14ac:dyDescent="0.25"/>
    <row r="47" spans="1:12" ht="0" hidden="1" customHeight="1" x14ac:dyDescent="0.25"/>
    <row r="48" spans="1:12" ht="0" hidden="1" customHeight="1" x14ac:dyDescent="0.25"/>
    <row r="49" ht="0" hidden="1" customHeight="1" x14ac:dyDescent="0.25"/>
    <row r="50" ht="0" hidden="1" customHeight="1" x14ac:dyDescent="0.25"/>
    <row r="51" ht="0" hidden="1" customHeight="1" x14ac:dyDescent="0.25"/>
    <row r="52" ht="0" hidden="1" customHeight="1" x14ac:dyDescent="0.25"/>
    <row r="53" ht="0" hidden="1" customHeight="1" x14ac:dyDescent="0.25"/>
    <row r="54" ht="0" hidden="1" customHeight="1" x14ac:dyDescent="0.25"/>
    <row r="55" ht="0" hidden="1" customHeight="1" x14ac:dyDescent="0.25"/>
    <row r="56" ht="0" hidden="1" customHeight="1" x14ac:dyDescent="0.25"/>
    <row r="57" ht="0" hidden="1" customHeight="1" x14ac:dyDescent="0.25"/>
    <row r="58" ht="0" hidden="1" customHeight="1" x14ac:dyDescent="0.25"/>
    <row r="59" ht="0" hidden="1" customHeight="1" x14ac:dyDescent="0.25"/>
    <row r="60" ht="0" hidden="1" customHeight="1" x14ac:dyDescent="0.25"/>
    <row r="61" ht="0" hidden="1" customHeight="1" x14ac:dyDescent="0.25"/>
    <row r="62" ht="0" hidden="1" customHeight="1" x14ac:dyDescent="0.25"/>
    <row r="63" ht="0" hidden="1" customHeight="1" x14ac:dyDescent="0.25"/>
    <row r="64" ht="0" hidden="1" customHeight="1" x14ac:dyDescent="0.25"/>
    <row r="65" ht="0" hidden="1" customHeight="1" x14ac:dyDescent="0.25"/>
    <row r="66" ht="0" hidden="1" customHeight="1" x14ac:dyDescent="0.25"/>
    <row r="67" ht="0" hidden="1" customHeight="1" x14ac:dyDescent="0.25"/>
    <row r="68" ht="0" hidden="1" customHeight="1" x14ac:dyDescent="0.25"/>
    <row r="69" ht="0" hidden="1" customHeight="1" x14ac:dyDescent="0.25"/>
    <row r="70" ht="0" hidden="1" customHeight="1" x14ac:dyDescent="0.25"/>
    <row r="71" ht="0" hidden="1" customHeight="1" x14ac:dyDescent="0.25"/>
    <row r="72" ht="0" hidden="1" customHeight="1" x14ac:dyDescent="0.25"/>
    <row r="73" ht="0" hidden="1" customHeight="1" x14ac:dyDescent="0.25"/>
    <row r="74" ht="0" hidden="1" customHeight="1" x14ac:dyDescent="0.25"/>
    <row r="75" ht="0" hidden="1" customHeight="1" x14ac:dyDescent="0.25"/>
    <row r="76" ht="0" hidden="1" customHeight="1" x14ac:dyDescent="0.25"/>
    <row r="77" ht="0" hidden="1" customHeight="1" x14ac:dyDescent="0.25"/>
    <row r="78" ht="0" hidden="1" customHeight="1" x14ac:dyDescent="0.25"/>
    <row r="79" ht="0" hidden="1" customHeight="1" x14ac:dyDescent="0.25"/>
    <row r="80" ht="0" hidden="1" customHeight="1" x14ac:dyDescent="0.25"/>
    <row r="81" ht="0" hidden="1" customHeight="1" x14ac:dyDescent="0.25"/>
    <row r="82" ht="0" hidden="1" customHeight="1" x14ac:dyDescent="0.25"/>
    <row r="83" ht="0" hidden="1" customHeight="1" x14ac:dyDescent="0.25"/>
    <row r="84" ht="0" hidden="1" customHeight="1" x14ac:dyDescent="0.25"/>
    <row r="85" ht="0" hidden="1" customHeight="1" x14ac:dyDescent="0.25"/>
    <row r="86" ht="0" hidden="1" customHeight="1" x14ac:dyDescent="0.25"/>
    <row r="87" ht="0" hidden="1" customHeight="1" x14ac:dyDescent="0.25"/>
    <row r="88" ht="0" hidden="1" customHeight="1" x14ac:dyDescent="0.25"/>
    <row r="89" ht="0" hidden="1" customHeight="1" x14ac:dyDescent="0.25"/>
    <row r="90" ht="0" hidden="1" customHeight="1" x14ac:dyDescent="0.25"/>
    <row r="91" ht="0" hidden="1" customHeight="1" x14ac:dyDescent="0.25"/>
    <row r="92" ht="0" hidden="1" customHeight="1" x14ac:dyDescent="0.25"/>
    <row r="93" ht="0" hidden="1" customHeight="1" x14ac:dyDescent="0.25"/>
    <row r="94" ht="0" hidden="1" customHeight="1" x14ac:dyDescent="0.25"/>
    <row r="95" ht="0" hidden="1" customHeight="1" x14ac:dyDescent="0.25"/>
    <row r="96" ht="0" hidden="1" customHeight="1" x14ac:dyDescent="0.25"/>
    <row r="97" ht="0" hidden="1" customHeight="1" x14ac:dyDescent="0.25"/>
    <row r="98" ht="0" hidden="1" customHeight="1" x14ac:dyDescent="0.25"/>
    <row r="99" ht="0" hidden="1" customHeight="1" x14ac:dyDescent="0.25"/>
  </sheetData>
  <sortState ref="A10:J14">
    <sortCondition ref="B10"/>
  </sortState>
  <mergeCells count="1">
    <mergeCell ref="A3:K3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tHomeADM1"/>
  <dimension ref="A1:T65"/>
  <sheetViews>
    <sheetView showGridLines="0" showRowColHeaders="0" showZeros="0" zoomScaleNormal="100" workbookViewId="0"/>
  </sheetViews>
  <sheetFormatPr defaultRowHeight="15" x14ac:dyDescent="0.25"/>
  <cols>
    <col min="2" max="2" width="7.5703125" customWidth="1"/>
    <col min="3" max="3" width="37.28515625" customWidth="1"/>
    <col min="4" max="4" width="12.28515625" customWidth="1"/>
    <col min="5" max="5" width="5.5703125" customWidth="1"/>
    <col min="6" max="6" width="11.85546875" style="144" customWidth="1"/>
    <col min="7" max="7" width="5.5703125" customWidth="1"/>
    <col min="8" max="8" width="7.140625" style="1" customWidth="1"/>
    <col min="9" max="9" width="2.42578125" style="1" customWidth="1"/>
    <col min="10" max="10" width="7.140625" style="1" customWidth="1"/>
    <col min="11" max="11" width="5.42578125" customWidth="1"/>
    <col min="12" max="12" width="20.5703125" customWidth="1"/>
  </cols>
  <sheetData>
    <row r="1" spans="1:20" s="25" customFormat="1" x14ac:dyDescent="0.25">
      <c r="F1" s="140"/>
      <c r="H1" s="29"/>
      <c r="I1" s="29"/>
      <c r="J1" s="29"/>
    </row>
    <row r="2" spans="1:20" s="25" customFormat="1" x14ac:dyDescent="0.25">
      <c r="F2" s="140"/>
      <c r="H2" s="29"/>
      <c r="I2" s="29"/>
      <c r="J2" s="29"/>
    </row>
    <row r="3" spans="1:20" s="25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  <c r="S3" s="26"/>
      <c r="T3" s="26"/>
    </row>
    <row r="4" spans="1:20" s="5" customFormat="1" ht="6" customHeight="1" x14ac:dyDescent="0.25">
      <c r="F4" s="141"/>
      <c r="H4" s="30"/>
      <c r="I4" s="30"/>
      <c r="J4" s="30"/>
    </row>
    <row r="5" spans="1:20" s="2" customFormat="1" x14ac:dyDescent="0.25">
      <c r="F5" s="142"/>
      <c r="H5" s="31"/>
      <c r="I5" s="31"/>
      <c r="J5" s="31"/>
    </row>
    <row r="6" spans="1:20" s="2" customFormat="1" x14ac:dyDescent="0.25">
      <c r="F6" s="142"/>
      <c r="H6" s="31"/>
      <c r="I6" s="31"/>
      <c r="J6" s="31"/>
    </row>
    <row r="7" spans="1:20" s="2" customFormat="1" x14ac:dyDescent="0.25">
      <c r="F7" s="142"/>
      <c r="H7" s="31"/>
      <c r="I7" s="31"/>
      <c r="J7" s="31"/>
    </row>
    <row r="8" spans="1:20" s="3" customFormat="1" x14ac:dyDescent="0.25">
      <c r="F8" s="143"/>
      <c r="H8" s="32"/>
      <c r="I8" s="32"/>
      <c r="J8" s="32"/>
    </row>
    <row r="10" spans="1:20" ht="15" customHeight="1" x14ac:dyDescent="0.25"/>
    <row r="11" spans="1:20" ht="18.75" x14ac:dyDescent="0.25">
      <c r="B11" s="16" t="s">
        <v>1</v>
      </c>
      <c r="C11" s="188" t="s">
        <v>6</v>
      </c>
      <c r="D11" s="189" t="s">
        <v>77</v>
      </c>
      <c r="E11" s="190"/>
      <c r="F11" s="190"/>
      <c r="G11" s="191"/>
      <c r="H11" s="433" t="s">
        <v>64</v>
      </c>
      <c r="I11" s="434"/>
      <c r="J11" s="434"/>
      <c r="K11" s="434"/>
    </row>
    <row r="12" spans="1:20" ht="18.75" x14ac:dyDescent="0.25">
      <c r="B12" s="19"/>
      <c r="C12" s="54"/>
      <c r="D12" s="435" t="s">
        <v>4</v>
      </c>
      <c r="E12" s="436"/>
      <c r="F12" s="435" t="s">
        <v>76</v>
      </c>
      <c r="G12" s="436"/>
      <c r="H12" s="110"/>
      <c r="I12" s="111"/>
      <c r="J12" s="111"/>
      <c r="K12" s="10"/>
    </row>
    <row r="13" spans="1:20" x14ac:dyDescent="0.25">
      <c r="B13" s="17">
        <v>1</v>
      </c>
      <c r="C13" s="18" t="s">
        <v>14</v>
      </c>
      <c r="D13" s="38">
        <v>0.3</v>
      </c>
      <c r="E13" s="18" t="s">
        <v>28</v>
      </c>
      <c r="F13" s="147">
        <v>0.46</v>
      </c>
      <c r="G13" s="18" t="s">
        <v>28</v>
      </c>
      <c r="H13" s="110">
        <v>190</v>
      </c>
      <c r="I13" s="111" t="s">
        <v>63</v>
      </c>
      <c r="J13" s="112">
        <v>205</v>
      </c>
      <c r="K13" s="18" t="s">
        <v>28</v>
      </c>
    </row>
    <row r="14" spans="1:20" x14ac:dyDescent="0.25">
      <c r="B14" s="11">
        <v>2</v>
      </c>
      <c r="C14" s="6" t="s">
        <v>15</v>
      </c>
      <c r="D14" s="39">
        <v>0.2</v>
      </c>
      <c r="E14" s="6" t="s">
        <v>28</v>
      </c>
      <c r="F14" s="147">
        <v>0.46</v>
      </c>
      <c r="G14" s="18" t="s">
        <v>28</v>
      </c>
      <c r="H14" s="110">
        <v>100</v>
      </c>
      <c r="I14" s="111" t="s">
        <v>63</v>
      </c>
      <c r="J14" s="112">
        <v>105</v>
      </c>
      <c r="K14" s="6" t="s">
        <v>28</v>
      </c>
    </row>
    <row r="15" spans="1:20" x14ac:dyDescent="0.25">
      <c r="B15" s="11">
        <v>3</v>
      </c>
      <c r="C15" s="6" t="s">
        <v>16</v>
      </c>
      <c r="D15" s="39">
        <v>0.15</v>
      </c>
      <c r="E15" s="6" t="s">
        <v>28</v>
      </c>
      <c r="F15" s="147">
        <v>52</v>
      </c>
      <c r="G15" s="18" t="s">
        <v>28</v>
      </c>
      <c r="H15" s="110">
        <v>100</v>
      </c>
      <c r="I15" s="111" t="s">
        <v>63</v>
      </c>
      <c r="J15" s="112">
        <v>105</v>
      </c>
      <c r="K15" s="6" t="s">
        <v>28</v>
      </c>
    </row>
    <row r="16" spans="1:20" x14ac:dyDescent="0.25">
      <c r="B16" s="11">
        <v>4</v>
      </c>
      <c r="C16" s="6" t="s">
        <v>17</v>
      </c>
      <c r="D16" s="39">
        <v>0.15</v>
      </c>
      <c r="E16" s="6" t="s">
        <v>28</v>
      </c>
      <c r="F16" s="147">
        <v>53</v>
      </c>
      <c r="G16" s="18" t="s">
        <v>28</v>
      </c>
      <c r="H16" s="110">
        <v>100</v>
      </c>
      <c r="I16" s="111" t="s">
        <v>63</v>
      </c>
      <c r="J16" s="112">
        <v>105</v>
      </c>
      <c r="K16" s="6" t="s">
        <v>28</v>
      </c>
    </row>
    <row r="17" spans="2:14" x14ac:dyDescent="0.25">
      <c r="B17" s="11">
        <v>5</v>
      </c>
      <c r="C17" s="6" t="s">
        <v>18</v>
      </c>
      <c r="D17" s="39">
        <v>0.15</v>
      </c>
      <c r="E17" s="6" t="s">
        <v>28</v>
      </c>
      <c r="F17" s="147">
        <v>54</v>
      </c>
      <c r="G17" s="18" t="s">
        <v>28</v>
      </c>
      <c r="H17" s="110">
        <v>100</v>
      </c>
      <c r="I17" s="111" t="s">
        <v>63</v>
      </c>
      <c r="J17" s="112">
        <v>105</v>
      </c>
      <c r="K17" s="6" t="s">
        <v>28</v>
      </c>
    </row>
    <row r="18" spans="2:14" x14ac:dyDescent="0.25">
      <c r="B18" s="11">
        <v>6</v>
      </c>
      <c r="C18" s="6" t="s">
        <v>19</v>
      </c>
      <c r="D18" s="39">
        <v>3.3</v>
      </c>
      <c r="E18" s="6" t="s">
        <v>28</v>
      </c>
      <c r="F18" s="147">
        <v>55</v>
      </c>
      <c r="G18" s="18" t="s">
        <v>28</v>
      </c>
      <c r="H18" s="110">
        <v>100</v>
      </c>
      <c r="I18" s="111" t="s">
        <v>63</v>
      </c>
      <c r="J18" s="112">
        <v>105</v>
      </c>
      <c r="K18" s="6" t="s">
        <v>28</v>
      </c>
      <c r="N18" s="1"/>
    </row>
    <row r="19" spans="2:14" x14ac:dyDescent="0.25">
      <c r="B19" s="11">
        <v>7</v>
      </c>
      <c r="C19" s="6" t="s">
        <v>20</v>
      </c>
      <c r="D19" s="39">
        <v>5.5</v>
      </c>
      <c r="E19" s="6" t="s">
        <v>28</v>
      </c>
      <c r="F19" s="147">
        <v>56</v>
      </c>
      <c r="G19" s="18" t="s">
        <v>28</v>
      </c>
      <c r="H19" s="110">
        <v>100</v>
      </c>
      <c r="I19" s="111" t="s">
        <v>63</v>
      </c>
      <c r="J19" s="112">
        <v>105</v>
      </c>
      <c r="K19" s="6" t="s">
        <v>28</v>
      </c>
    </row>
    <row r="20" spans="2:14" x14ac:dyDescent="0.25">
      <c r="B20" s="11">
        <v>8</v>
      </c>
      <c r="C20" s="6" t="s">
        <v>21</v>
      </c>
      <c r="D20" s="39">
        <v>1.6</v>
      </c>
      <c r="E20" s="6" t="s">
        <v>28</v>
      </c>
      <c r="F20" s="147">
        <v>57</v>
      </c>
      <c r="G20" s="18" t="s">
        <v>28</v>
      </c>
      <c r="H20" s="110">
        <v>100</v>
      </c>
      <c r="I20" s="111" t="s">
        <v>63</v>
      </c>
      <c r="J20" s="112">
        <v>105</v>
      </c>
      <c r="K20" s="6" t="s">
        <v>28</v>
      </c>
    </row>
    <row r="21" spans="2:14" x14ac:dyDescent="0.25">
      <c r="B21" s="11">
        <v>9</v>
      </c>
      <c r="C21" s="6" t="s">
        <v>22</v>
      </c>
      <c r="D21" s="39">
        <v>3.3</v>
      </c>
      <c r="E21" s="6" t="s">
        <v>28</v>
      </c>
      <c r="F21" s="147">
        <v>58</v>
      </c>
      <c r="G21" s="18" t="s">
        <v>28</v>
      </c>
      <c r="H21" s="110">
        <v>100</v>
      </c>
      <c r="I21" s="111" t="s">
        <v>63</v>
      </c>
      <c r="J21" s="112">
        <v>105</v>
      </c>
      <c r="K21" s="6" t="s">
        <v>28</v>
      </c>
    </row>
    <row r="22" spans="2:14" x14ac:dyDescent="0.25">
      <c r="B22" s="11">
        <v>10</v>
      </c>
      <c r="C22" s="6" t="s">
        <v>23</v>
      </c>
      <c r="D22" s="39">
        <v>5.5</v>
      </c>
      <c r="E22" s="6" t="s">
        <v>28</v>
      </c>
      <c r="F22" s="147">
        <v>59</v>
      </c>
      <c r="G22" s="18" t="s">
        <v>28</v>
      </c>
      <c r="H22" s="110">
        <v>100</v>
      </c>
      <c r="I22" s="111" t="s">
        <v>63</v>
      </c>
      <c r="J22" s="112">
        <v>105</v>
      </c>
      <c r="K22" s="6" t="s">
        <v>28</v>
      </c>
    </row>
    <row r="23" spans="2:14" x14ac:dyDescent="0.25">
      <c r="B23" s="11">
        <v>11</v>
      </c>
      <c r="C23" s="6" t="s">
        <v>34</v>
      </c>
      <c r="D23" s="39">
        <v>0.3</v>
      </c>
      <c r="E23" s="6" t="s">
        <v>28</v>
      </c>
      <c r="F23" s="147">
        <v>60</v>
      </c>
      <c r="G23" s="18" t="s">
        <v>28</v>
      </c>
      <c r="H23" s="110">
        <v>100</v>
      </c>
      <c r="I23" s="111" t="s">
        <v>63</v>
      </c>
      <c r="J23" s="112">
        <v>105</v>
      </c>
      <c r="K23" s="6" t="s">
        <v>28</v>
      </c>
    </row>
    <row r="24" spans="2:14" x14ac:dyDescent="0.25">
      <c r="B24" s="11">
        <v>12</v>
      </c>
      <c r="C24" s="6" t="s">
        <v>35</v>
      </c>
      <c r="D24" s="39">
        <v>5.5</v>
      </c>
      <c r="E24" s="6" t="s">
        <v>28</v>
      </c>
      <c r="F24" s="147">
        <v>61</v>
      </c>
      <c r="G24" s="18" t="s">
        <v>28</v>
      </c>
      <c r="H24" s="110">
        <v>100</v>
      </c>
      <c r="I24" s="111" t="s">
        <v>63</v>
      </c>
      <c r="J24" s="112">
        <v>105</v>
      </c>
      <c r="K24" s="6" t="s">
        <v>28</v>
      </c>
    </row>
    <row r="25" spans="2:14" x14ac:dyDescent="0.25">
      <c r="B25" s="11">
        <v>13</v>
      </c>
      <c r="C25" s="6" t="s">
        <v>36</v>
      </c>
      <c r="D25" s="39">
        <v>1.8</v>
      </c>
      <c r="E25" s="6" t="s">
        <v>28</v>
      </c>
      <c r="F25" s="147">
        <v>62</v>
      </c>
      <c r="G25" s="18" t="s">
        <v>28</v>
      </c>
      <c r="H25" s="110">
        <v>100</v>
      </c>
      <c r="I25" s="111" t="s">
        <v>63</v>
      </c>
      <c r="J25" s="112">
        <v>105</v>
      </c>
      <c r="K25" s="6" t="s">
        <v>28</v>
      </c>
    </row>
    <row r="26" spans="2:14" x14ac:dyDescent="0.25">
      <c r="B26" s="11">
        <v>14</v>
      </c>
      <c r="C26" s="6" t="s">
        <v>37</v>
      </c>
      <c r="D26" s="39">
        <v>1</v>
      </c>
      <c r="E26" s="6" t="s">
        <v>28</v>
      </c>
      <c r="F26" s="147">
        <v>63</v>
      </c>
      <c r="G26" s="18" t="s">
        <v>28</v>
      </c>
      <c r="H26" s="110">
        <v>100</v>
      </c>
      <c r="I26" s="111" t="s">
        <v>63</v>
      </c>
      <c r="J26" s="112">
        <v>105</v>
      </c>
      <c r="K26" s="6" t="s">
        <v>28</v>
      </c>
    </row>
    <row r="27" spans="2:14" x14ac:dyDescent="0.25">
      <c r="B27" s="11">
        <v>15</v>
      </c>
      <c r="C27" s="6" t="s">
        <v>38</v>
      </c>
      <c r="D27" s="39">
        <v>0.8</v>
      </c>
      <c r="E27" s="6" t="s">
        <v>28</v>
      </c>
      <c r="F27" s="147">
        <v>64</v>
      </c>
      <c r="G27" s="18" t="s">
        <v>28</v>
      </c>
      <c r="H27" s="110">
        <v>100</v>
      </c>
      <c r="I27" s="111" t="s">
        <v>63</v>
      </c>
      <c r="J27" s="112">
        <v>105</v>
      </c>
      <c r="K27" s="6" t="s">
        <v>28</v>
      </c>
    </row>
    <row r="28" spans="2:14" x14ac:dyDescent="0.25">
      <c r="B28" s="11">
        <v>16</v>
      </c>
      <c r="C28" s="6" t="s">
        <v>39</v>
      </c>
      <c r="D28" s="39">
        <v>0.4</v>
      </c>
      <c r="E28" s="6" t="s">
        <v>28</v>
      </c>
      <c r="F28" s="147">
        <v>65</v>
      </c>
      <c r="G28" s="18" t="s">
        <v>28</v>
      </c>
      <c r="H28" s="110">
        <v>100</v>
      </c>
      <c r="I28" s="111" t="s">
        <v>63</v>
      </c>
      <c r="J28" s="112">
        <v>105</v>
      </c>
      <c r="K28" s="6" t="s">
        <v>28</v>
      </c>
    </row>
    <row r="29" spans="2:14" x14ac:dyDescent="0.25">
      <c r="B29" s="11">
        <v>17</v>
      </c>
      <c r="C29" s="6" t="s">
        <v>40</v>
      </c>
      <c r="D29" s="39">
        <v>0.8</v>
      </c>
      <c r="E29" s="6" t="s">
        <v>28</v>
      </c>
      <c r="F29" s="147">
        <v>66</v>
      </c>
      <c r="G29" s="18" t="s">
        <v>28</v>
      </c>
      <c r="H29" s="110">
        <v>100</v>
      </c>
      <c r="I29" s="111" t="s">
        <v>63</v>
      </c>
      <c r="J29" s="112">
        <v>105</v>
      </c>
      <c r="K29" s="6" t="s">
        <v>28</v>
      </c>
    </row>
    <row r="30" spans="2:14" x14ac:dyDescent="0.25">
      <c r="B30" s="11">
        <v>18</v>
      </c>
      <c r="C30" s="6" t="s">
        <v>41</v>
      </c>
      <c r="D30" s="39">
        <v>0.45</v>
      </c>
      <c r="E30" s="6" t="s">
        <v>28</v>
      </c>
      <c r="F30" s="147">
        <v>67</v>
      </c>
      <c r="G30" s="18" t="s">
        <v>28</v>
      </c>
      <c r="H30" s="110">
        <v>100</v>
      </c>
      <c r="I30" s="111" t="s">
        <v>63</v>
      </c>
      <c r="J30" s="112">
        <v>105</v>
      </c>
      <c r="K30" s="6" t="s">
        <v>28</v>
      </c>
    </row>
    <row r="31" spans="2:14" x14ac:dyDescent="0.25">
      <c r="B31" s="11">
        <v>19</v>
      </c>
      <c r="C31" s="6" t="s">
        <v>42</v>
      </c>
      <c r="D31" s="39">
        <v>0.7</v>
      </c>
      <c r="E31" s="6" t="s">
        <v>28</v>
      </c>
      <c r="F31" s="147">
        <v>68</v>
      </c>
      <c r="G31" s="18" t="s">
        <v>28</v>
      </c>
      <c r="H31" s="110">
        <v>100</v>
      </c>
      <c r="I31" s="111" t="s">
        <v>63</v>
      </c>
      <c r="J31" s="112">
        <v>105</v>
      </c>
      <c r="K31" s="6" t="s">
        <v>28</v>
      </c>
    </row>
    <row r="32" spans="2:14" x14ac:dyDescent="0.25">
      <c r="B32" s="11">
        <v>20</v>
      </c>
      <c r="C32" s="6" t="s">
        <v>43</v>
      </c>
      <c r="D32" s="39">
        <v>0.2</v>
      </c>
      <c r="E32" s="6" t="s">
        <v>28</v>
      </c>
      <c r="F32" s="147">
        <v>69</v>
      </c>
      <c r="G32" s="18" t="s">
        <v>28</v>
      </c>
      <c r="H32" s="110">
        <v>100</v>
      </c>
      <c r="I32" s="111" t="s">
        <v>63</v>
      </c>
      <c r="J32" s="112">
        <v>105</v>
      </c>
      <c r="K32" s="6" t="s">
        <v>28</v>
      </c>
    </row>
    <row r="33" spans="2:11" x14ac:dyDescent="0.25">
      <c r="B33" s="11">
        <v>21</v>
      </c>
      <c r="C33" s="6" t="s">
        <v>44</v>
      </c>
      <c r="D33" s="39">
        <v>0.2</v>
      </c>
      <c r="E33" s="6" t="s">
        <v>28</v>
      </c>
      <c r="F33" s="147">
        <v>70</v>
      </c>
      <c r="G33" s="18" t="s">
        <v>28</v>
      </c>
      <c r="H33" s="110">
        <v>100</v>
      </c>
      <c r="I33" s="111" t="s">
        <v>63</v>
      </c>
      <c r="J33" s="112">
        <v>105</v>
      </c>
      <c r="K33" s="6" t="s">
        <v>28</v>
      </c>
    </row>
    <row r="34" spans="2:11" x14ac:dyDescent="0.25">
      <c r="B34" s="11">
        <v>22</v>
      </c>
      <c r="C34" s="6" t="s">
        <v>45</v>
      </c>
      <c r="D34" s="39">
        <v>0.05</v>
      </c>
      <c r="E34" s="6" t="s">
        <v>28</v>
      </c>
      <c r="F34" s="147">
        <v>71</v>
      </c>
      <c r="G34" s="18" t="s">
        <v>28</v>
      </c>
      <c r="H34" s="110">
        <v>100</v>
      </c>
      <c r="I34" s="111" t="s">
        <v>63</v>
      </c>
      <c r="J34" s="112">
        <v>105</v>
      </c>
      <c r="K34" s="6" t="s">
        <v>28</v>
      </c>
    </row>
    <row r="35" spans="2:11" x14ac:dyDescent="0.25">
      <c r="B35" s="11">
        <v>23</v>
      </c>
      <c r="C35" s="6" t="s">
        <v>46</v>
      </c>
      <c r="D35" s="39">
        <v>0.2</v>
      </c>
      <c r="E35" s="6" t="s">
        <v>28</v>
      </c>
      <c r="F35" s="147">
        <v>72</v>
      </c>
      <c r="G35" s="18" t="s">
        <v>28</v>
      </c>
      <c r="H35" s="110">
        <v>100</v>
      </c>
      <c r="I35" s="111" t="s">
        <v>63</v>
      </c>
      <c r="J35" s="112">
        <v>105</v>
      </c>
      <c r="K35" s="6" t="s">
        <v>28</v>
      </c>
    </row>
    <row r="36" spans="2:11" x14ac:dyDescent="0.25">
      <c r="B36" s="11">
        <v>24</v>
      </c>
      <c r="C36" s="6" t="s">
        <v>47</v>
      </c>
      <c r="D36" s="39">
        <v>0.6</v>
      </c>
      <c r="E36" s="6" t="s">
        <v>28</v>
      </c>
      <c r="F36" s="147">
        <v>73</v>
      </c>
      <c r="G36" s="18" t="s">
        <v>28</v>
      </c>
      <c r="H36" s="110">
        <v>100</v>
      </c>
      <c r="I36" s="111" t="s">
        <v>63</v>
      </c>
      <c r="J36" s="112">
        <v>105</v>
      </c>
      <c r="K36" s="6" t="s">
        <v>28</v>
      </c>
    </row>
    <row r="37" spans="2:11" x14ac:dyDescent="0.25">
      <c r="B37" s="11">
        <v>25</v>
      </c>
      <c r="C37" s="6" t="s">
        <v>48</v>
      </c>
      <c r="D37" s="39">
        <v>10</v>
      </c>
      <c r="E37" s="6" t="s">
        <v>28</v>
      </c>
      <c r="F37" s="147">
        <v>74</v>
      </c>
      <c r="G37" s="18" t="s">
        <v>28</v>
      </c>
      <c r="H37" s="110">
        <v>100</v>
      </c>
      <c r="I37" s="111" t="s">
        <v>63</v>
      </c>
      <c r="J37" s="112">
        <v>105</v>
      </c>
      <c r="K37" s="6" t="s">
        <v>28</v>
      </c>
    </row>
    <row r="38" spans="2:11" x14ac:dyDescent="0.25">
      <c r="B38" s="11">
        <v>26</v>
      </c>
      <c r="C38" s="6" t="s">
        <v>49</v>
      </c>
      <c r="D38" s="39">
        <v>0.4</v>
      </c>
      <c r="E38" s="6" t="s">
        <v>28</v>
      </c>
      <c r="F38" s="147">
        <v>75</v>
      </c>
      <c r="G38" s="18" t="s">
        <v>28</v>
      </c>
      <c r="H38" s="110">
        <v>100</v>
      </c>
      <c r="I38" s="111" t="s">
        <v>63</v>
      </c>
      <c r="J38" s="112">
        <v>105</v>
      </c>
      <c r="K38" s="6" t="s">
        <v>28</v>
      </c>
    </row>
    <row r="39" spans="2:11" x14ac:dyDescent="0.25">
      <c r="B39" s="11">
        <v>27</v>
      </c>
      <c r="C39" s="6" t="s">
        <v>50</v>
      </c>
      <c r="D39" s="39">
        <v>1</v>
      </c>
      <c r="E39" s="6" t="s">
        <v>28</v>
      </c>
      <c r="F39" s="147">
        <v>76</v>
      </c>
      <c r="G39" s="18" t="s">
        <v>28</v>
      </c>
      <c r="H39" s="110">
        <v>100</v>
      </c>
      <c r="I39" s="111" t="s">
        <v>63</v>
      </c>
      <c r="J39" s="112">
        <v>105</v>
      </c>
      <c r="K39" s="6" t="s">
        <v>28</v>
      </c>
    </row>
    <row r="40" spans="2:11" x14ac:dyDescent="0.25">
      <c r="B40" s="11">
        <v>28</v>
      </c>
      <c r="C40" s="6" t="s">
        <v>51</v>
      </c>
      <c r="D40" s="52">
        <v>1.2</v>
      </c>
      <c r="E40" s="53" t="s">
        <v>28</v>
      </c>
      <c r="F40" s="147">
        <v>77</v>
      </c>
      <c r="G40" s="18" t="s">
        <v>28</v>
      </c>
      <c r="H40" s="110">
        <v>100</v>
      </c>
      <c r="I40" s="114" t="s">
        <v>63</v>
      </c>
      <c r="J40" s="112">
        <v>105</v>
      </c>
      <c r="K40" s="53" t="s">
        <v>28</v>
      </c>
    </row>
    <row r="41" spans="2:11" x14ac:dyDescent="0.25">
      <c r="B41" s="12"/>
      <c r="C41" s="51"/>
      <c r="D41" s="39"/>
      <c r="E41" s="109"/>
      <c r="F41" s="145"/>
      <c r="G41" s="139"/>
      <c r="H41" s="113"/>
      <c r="I41" s="114"/>
      <c r="J41" s="114"/>
      <c r="K41" s="118"/>
    </row>
    <row r="42" spans="2:11" ht="18.75" x14ac:dyDescent="0.25">
      <c r="B42" s="15"/>
      <c r="C42" s="14" t="s">
        <v>5</v>
      </c>
      <c r="D42" s="148" t="s">
        <v>78</v>
      </c>
      <c r="E42" s="149"/>
      <c r="F42" s="149"/>
      <c r="G42" s="150"/>
      <c r="H42" s="120"/>
      <c r="I42" s="121"/>
      <c r="J42" s="121"/>
      <c r="K42" s="122"/>
    </row>
    <row r="43" spans="2:11" x14ac:dyDescent="0.25">
      <c r="B43" s="13"/>
      <c r="C43" s="50"/>
      <c r="D43" s="40"/>
      <c r="E43" s="109"/>
      <c r="F43" s="146"/>
      <c r="G43" s="138"/>
      <c r="H43" s="115"/>
      <c r="I43" s="116"/>
      <c r="J43" s="116"/>
      <c r="K43" s="119"/>
    </row>
    <row r="44" spans="2:11" x14ac:dyDescent="0.25">
      <c r="B44" s="6">
        <v>29</v>
      </c>
      <c r="C44" s="10" t="s">
        <v>52</v>
      </c>
      <c r="D44" s="38">
        <v>0.15</v>
      </c>
      <c r="E44" s="18" t="s">
        <v>30</v>
      </c>
      <c r="F44" s="147">
        <v>0.3</v>
      </c>
      <c r="G44" s="137" t="s">
        <v>30</v>
      </c>
      <c r="H44" s="115">
        <v>0</v>
      </c>
      <c r="I44" s="116" t="s">
        <v>63</v>
      </c>
      <c r="J44" s="117">
        <v>0</v>
      </c>
      <c r="K44" s="18" t="s">
        <v>30</v>
      </c>
    </row>
    <row r="46" spans="2:11" ht="15" customHeight="1" x14ac:dyDescent="0.25"/>
    <row r="47" spans="2:11" ht="15" customHeight="1" x14ac:dyDescent="0.25"/>
    <row r="49" spans="6:10" s="5" customFormat="1" ht="6" customHeight="1" x14ac:dyDescent="0.25">
      <c r="F49" s="141"/>
      <c r="H49" s="30"/>
      <c r="I49" s="30"/>
      <c r="J49" s="30"/>
    </row>
    <row r="50" spans="6:10" s="25" customFormat="1" x14ac:dyDescent="0.25">
      <c r="F50" s="140"/>
      <c r="H50" s="29"/>
      <c r="I50" s="29"/>
      <c r="J50" s="29"/>
    </row>
    <row r="51" spans="6:10" s="25" customFormat="1" x14ac:dyDescent="0.25">
      <c r="F51" s="140"/>
      <c r="H51" s="29"/>
      <c r="I51" s="29"/>
      <c r="J51" s="29"/>
    </row>
    <row r="52" spans="6:10" s="25" customFormat="1" x14ac:dyDescent="0.25">
      <c r="F52" s="140"/>
      <c r="H52" s="29"/>
      <c r="I52" s="29"/>
      <c r="J52" s="29"/>
    </row>
    <row r="53" spans="6:10" s="25" customFormat="1" x14ac:dyDescent="0.25">
      <c r="F53" s="140"/>
      <c r="H53" s="29"/>
      <c r="I53" s="29"/>
      <c r="J53" s="29"/>
    </row>
    <row r="54" spans="6:10" s="25" customFormat="1" x14ac:dyDescent="0.25">
      <c r="F54" s="140"/>
      <c r="H54" s="29"/>
      <c r="I54" s="29"/>
      <c r="J54" s="29"/>
    </row>
    <row r="55" spans="6:10" s="25" customFormat="1" x14ac:dyDescent="0.25">
      <c r="F55" s="140"/>
      <c r="H55" s="29"/>
      <c r="I55" s="29"/>
      <c r="J55" s="29"/>
    </row>
    <row r="56" spans="6:10" s="25" customFormat="1" x14ac:dyDescent="0.25">
      <c r="F56" s="140"/>
      <c r="H56" s="29"/>
      <c r="I56" s="29"/>
      <c r="J56" s="29"/>
    </row>
    <row r="57" spans="6:10" s="25" customFormat="1" x14ac:dyDescent="0.25">
      <c r="F57" s="140"/>
      <c r="H57" s="29"/>
      <c r="I57" s="29"/>
      <c r="J57" s="29"/>
    </row>
    <row r="58" spans="6:10" s="25" customFormat="1" x14ac:dyDescent="0.25">
      <c r="F58" s="140"/>
      <c r="H58" s="29"/>
      <c r="I58" s="29"/>
      <c r="J58" s="29"/>
    </row>
    <row r="59" spans="6:10" s="25" customFormat="1" x14ac:dyDescent="0.25">
      <c r="F59" s="140"/>
      <c r="H59" s="29"/>
      <c r="I59" s="29"/>
      <c r="J59" s="29"/>
    </row>
    <row r="60" spans="6:10" s="25" customFormat="1" x14ac:dyDescent="0.25">
      <c r="F60" s="140"/>
      <c r="H60" s="29"/>
      <c r="I60" s="29"/>
      <c r="J60" s="29"/>
    </row>
    <row r="61" spans="6:10" s="25" customFormat="1" x14ac:dyDescent="0.25">
      <c r="F61" s="140"/>
      <c r="H61" s="29"/>
      <c r="I61" s="29"/>
      <c r="J61" s="29"/>
    </row>
    <row r="62" spans="6:10" s="25" customFormat="1" x14ac:dyDescent="0.25">
      <c r="F62" s="140"/>
      <c r="H62" s="29"/>
      <c r="I62" s="29"/>
      <c r="J62" s="29"/>
    </row>
    <row r="63" spans="6:10" s="25" customFormat="1" x14ac:dyDescent="0.25">
      <c r="F63" s="140"/>
      <c r="H63" s="29"/>
      <c r="I63" s="29"/>
      <c r="J63" s="29"/>
    </row>
    <row r="64" spans="6:10" s="25" customFormat="1" x14ac:dyDescent="0.25">
      <c r="F64" s="140"/>
      <c r="H64" s="29"/>
      <c r="I64" s="29"/>
      <c r="J64" s="29"/>
    </row>
    <row r="65" spans="6:10" s="25" customFormat="1" x14ac:dyDescent="0.25">
      <c r="F65" s="140"/>
      <c r="H65" s="29"/>
      <c r="I65" s="29"/>
      <c r="J65" s="29"/>
    </row>
  </sheetData>
  <sheetProtection selectLockedCells="1" selectUnlockedCells="1"/>
  <mergeCells count="4">
    <mergeCell ref="A3:R3"/>
    <mergeCell ref="H11:K11"/>
    <mergeCell ref="D12:E12"/>
    <mergeCell ref="F12:G12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tSenhaX">
    <pageSetUpPr autoPageBreaks="0"/>
  </sheetPr>
  <dimension ref="A1:Q41"/>
  <sheetViews>
    <sheetView showGridLines="0" showRowColHeaders="0" showZeros="0" zoomScaleNormal="100" workbookViewId="0"/>
  </sheetViews>
  <sheetFormatPr defaultRowHeight="15" x14ac:dyDescent="0.25"/>
  <cols>
    <col min="1" max="1" width="40.42578125" customWidth="1"/>
    <col min="2" max="2" width="19.140625" style="1" customWidth="1"/>
    <col min="3" max="3" width="24.140625" customWidth="1"/>
    <col min="4" max="4" width="33" customWidth="1"/>
    <col min="5" max="5" width="12.85546875" customWidth="1"/>
    <col min="6" max="6" width="16.28515625" customWidth="1"/>
    <col min="7" max="7" width="4.85546875" customWidth="1"/>
    <col min="8" max="8" width="9.28515625" customWidth="1"/>
    <col min="9" max="9" width="12" customWidth="1"/>
    <col min="10" max="10" width="10.85546875" customWidth="1"/>
  </cols>
  <sheetData>
    <row r="1" spans="1:17" s="25" customFormat="1" x14ac:dyDescent="0.25">
      <c r="B1" s="29"/>
    </row>
    <row r="2" spans="1:17" s="25" customFormat="1" x14ac:dyDescent="0.25">
      <c r="B2" s="29"/>
    </row>
    <row r="3" spans="1:17" s="25" customFormat="1" ht="15.75" x14ac:dyDescent="0.25">
      <c r="A3" s="333">
        <f ca="1">TODAY()</f>
        <v>43160</v>
      </c>
      <c r="B3" s="333"/>
      <c r="C3" s="333"/>
      <c r="D3" s="333"/>
      <c r="E3" s="333"/>
      <c r="F3" s="333"/>
      <c r="G3" s="333"/>
      <c r="H3" s="333"/>
      <c r="I3" s="333"/>
      <c r="J3" s="333"/>
      <c r="K3" s="333"/>
      <c r="L3" s="26"/>
      <c r="M3" s="26"/>
      <c r="N3" s="26"/>
      <c r="O3" s="26"/>
      <c r="P3" s="26"/>
      <c r="Q3" s="26"/>
    </row>
    <row r="4" spans="1:17" s="5" customFormat="1" ht="6" customHeight="1" x14ac:dyDescent="0.25">
      <c r="B4" s="30"/>
    </row>
    <row r="5" spans="1:17" s="2" customFormat="1" x14ac:dyDescent="0.25">
      <c r="B5" s="31"/>
    </row>
    <row r="6" spans="1:17" s="2" customFormat="1" x14ac:dyDescent="0.25">
      <c r="B6" s="31"/>
    </row>
    <row r="7" spans="1:17" s="2" customFormat="1" x14ac:dyDescent="0.25">
      <c r="B7" s="31"/>
    </row>
    <row r="8" spans="1:17" s="3" customFormat="1" x14ac:dyDescent="0.25">
      <c r="B8" s="32"/>
    </row>
    <row r="9" spans="1:17" s="7" customFormat="1" ht="19.5" thickBot="1" x14ac:dyDescent="0.3">
      <c r="A9" s="192" t="s">
        <v>12</v>
      </c>
      <c r="B9" s="192" t="s">
        <v>11</v>
      </c>
      <c r="C9" s="192" t="s">
        <v>13</v>
      </c>
      <c r="D9"/>
      <c r="E9"/>
      <c r="F9"/>
      <c r="G9"/>
      <c r="H9"/>
      <c r="I9"/>
      <c r="J9"/>
      <c r="K9"/>
      <c r="L9"/>
    </row>
    <row r="10" spans="1:17" s="4" customFormat="1" ht="15.75" x14ac:dyDescent="0.25">
      <c r="A10" s="1" t="str">
        <f t="shared" ref="A10:A16" si="0">$F$10</f>
        <v>ACARI</v>
      </c>
      <c r="B10" s="1">
        <f t="shared" ref="B10:B16" si="1">$F$11</f>
        <v>1234</v>
      </c>
      <c r="C10" t="s">
        <v>24</v>
      </c>
      <c r="E10" s="193" t="s">
        <v>25</v>
      </c>
      <c r="F10" s="35" t="s">
        <v>85</v>
      </c>
    </row>
    <row r="11" spans="1:17" ht="16.5" thickBot="1" x14ac:dyDescent="0.3">
      <c r="A11" s="1" t="str">
        <f t="shared" si="0"/>
        <v>ACARI</v>
      </c>
      <c r="B11" s="1">
        <f t="shared" si="1"/>
        <v>1234</v>
      </c>
      <c r="C11" t="s">
        <v>8</v>
      </c>
      <c r="E11" s="194" t="s">
        <v>26</v>
      </c>
      <c r="F11" s="34">
        <v>1234</v>
      </c>
    </row>
    <row r="12" spans="1:17" x14ac:dyDescent="0.25">
      <c r="A12" s="1" t="str">
        <f t="shared" si="0"/>
        <v>ACARI</v>
      </c>
      <c r="B12" s="1">
        <f t="shared" si="1"/>
        <v>1234</v>
      </c>
      <c r="C12" t="s">
        <v>9</v>
      </c>
    </row>
    <row r="13" spans="1:17" x14ac:dyDescent="0.25">
      <c r="A13" s="1" t="str">
        <f t="shared" si="0"/>
        <v>ACARI</v>
      </c>
      <c r="B13" s="1">
        <f t="shared" si="1"/>
        <v>1234</v>
      </c>
      <c r="C13" t="s">
        <v>10</v>
      </c>
    </row>
    <row r="14" spans="1:17" x14ac:dyDescent="0.25">
      <c r="A14" s="1" t="str">
        <f t="shared" si="0"/>
        <v>ACARI</v>
      </c>
      <c r="B14" s="1">
        <f t="shared" si="1"/>
        <v>1234</v>
      </c>
      <c r="C14" t="s">
        <v>11</v>
      </c>
    </row>
    <row r="15" spans="1:17" x14ac:dyDescent="0.25">
      <c r="A15" s="1" t="str">
        <f t="shared" si="0"/>
        <v>ACARI</v>
      </c>
      <c r="B15" s="1">
        <f t="shared" si="1"/>
        <v>1234</v>
      </c>
      <c r="C15" t="s">
        <v>90</v>
      </c>
    </row>
    <row r="16" spans="1:17" x14ac:dyDescent="0.25">
      <c r="A16" s="1" t="str">
        <f t="shared" si="0"/>
        <v>ACARI</v>
      </c>
      <c r="B16" s="1">
        <f t="shared" si="1"/>
        <v>1234</v>
      </c>
      <c r="C16" t="s">
        <v>58</v>
      </c>
    </row>
    <row r="17" spans="1:4" x14ac:dyDescent="0.25">
      <c r="A17" s="33"/>
      <c r="D17" s="85" t="s">
        <v>60</v>
      </c>
    </row>
    <row r="18" spans="1:4" x14ac:dyDescent="0.25">
      <c r="A18" s="33"/>
    </row>
    <row r="19" spans="1:4" x14ac:dyDescent="0.25">
      <c r="A19" s="33"/>
    </row>
    <row r="20" spans="1:4" x14ac:dyDescent="0.25">
      <c r="A20" s="33"/>
    </row>
    <row r="21" spans="1:4" x14ac:dyDescent="0.25">
      <c r="A21" s="33"/>
    </row>
    <row r="24" spans="1:4" s="5" customFormat="1" ht="6" customHeight="1" x14ac:dyDescent="0.25">
      <c r="B24" s="30"/>
    </row>
    <row r="25" spans="1:4" s="25" customFormat="1" x14ac:dyDescent="0.25">
      <c r="B25" s="29"/>
    </row>
    <row r="26" spans="1:4" s="25" customFormat="1" x14ac:dyDescent="0.25">
      <c r="B26" s="29"/>
    </row>
    <row r="27" spans="1:4" s="25" customFormat="1" x14ac:dyDescent="0.25">
      <c r="B27" s="29"/>
    </row>
    <row r="28" spans="1:4" s="25" customFormat="1" x14ac:dyDescent="0.25">
      <c r="B28" s="29"/>
    </row>
    <row r="29" spans="1:4" s="25" customFormat="1" x14ac:dyDescent="0.25">
      <c r="B29" s="29"/>
    </row>
    <row r="30" spans="1:4" s="25" customFormat="1" x14ac:dyDescent="0.25">
      <c r="B30" s="29"/>
    </row>
    <row r="31" spans="1:4" s="25" customFormat="1" x14ac:dyDescent="0.25">
      <c r="B31" s="29"/>
    </row>
    <row r="32" spans="1:4" s="25" customFormat="1" x14ac:dyDescent="0.25">
      <c r="B32" s="29"/>
    </row>
    <row r="33" spans="1:2" s="25" customFormat="1" x14ac:dyDescent="0.25">
      <c r="B33" s="29"/>
    </row>
    <row r="34" spans="1:2" s="25" customFormat="1" x14ac:dyDescent="0.25">
      <c r="B34" s="29"/>
    </row>
    <row r="35" spans="1:2" s="25" customFormat="1" x14ac:dyDescent="0.25">
      <c r="B35" s="29"/>
    </row>
    <row r="36" spans="1:2" s="25" customFormat="1" x14ac:dyDescent="0.25">
      <c r="B36" s="29"/>
    </row>
    <row r="37" spans="1:2" s="25" customFormat="1" x14ac:dyDescent="0.25">
      <c r="B37" s="29"/>
    </row>
    <row r="38" spans="1:2" s="25" customFormat="1" x14ac:dyDescent="0.25">
      <c r="B38" s="29"/>
    </row>
    <row r="39" spans="1:2" s="25" customFormat="1" x14ac:dyDescent="0.25">
      <c r="B39" s="29"/>
    </row>
    <row r="40" spans="1:2" s="25" customFormat="1" ht="20.25" customHeight="1" x14ac:dyDescent="0.25">
      <c r="B40" s="29"/>
    </row>
    <row r="41" spans="1:2" ht="29.25" customHeight="1" x14ac:dyDescent="0.25">
      <c r="A41" s="1"/>
    </row>
  </sheetData>
  <autoFilter ref="A10:C41" xr:uid="{00000000-0009-0000-0000-00000C000000}"/>
  <mergeCells count="1">
    <mergeCell ref="A3:K3"/>
  </mergeCell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Senha" filterMode="1"/>
  <dimension ref="A1:C27"/>
  <sheetViews>
    <sheetView showGridLines="0" showRowColHeaders="0" showZeros="0" workbookViewId="0"/>
  </sheetViews>
  <sheetFormatPr defaultRowHeight="15" x14ac:dyDescent="0.25"/>
  <cols>
    <col min="1" max="1" width="13.28515625" customWidth="1"/>
    <col min="2" max="2" width="9.7109375" customWidth="1"/>
    <col min="3" max="3" width="23.42578125" customWidth="1"/>
  </cols>
  <sheetData>
    <row r="1" spans="1:3" x14ac:dyDescent="0.25">
      <c r="A1" t="s">
        <v>12</v>
      </c>
      <c r="B1" t="s">
        <v>11</v>
      </c>
      <c r="C1" t="s">
        <v>13</v>
      </c>
    </row>
    <row r="2" spans="1:3" x14ac:dyDescent="0.25">
      <c r="A2" t="str">
        <f>IF(ADMINISTRADORES!A10="","",ADMINISTRADORES!A10)</f>
        <v>ACARI</v>
      </c>
      <c r="B2">
        <f>IF(ADMINISTRADORES!B10="","",ADMINISTRADORES!B10)</f>
        <v>1234</v>
      </c>
      <c r="C2" t="str">
        <f>IF(ADMINISTRADORES!C10="","",ADMINISTRADORES!C10)</f>
        <v>ADMINISTRADORES</v>
      </c>
    </row>
    <row r="3" spans="1:3" x14ac:dyDescent="0.25">
      <c r="A3" t="str">
        <f>IF(ADMINISTRADORES!A11="","",ADMINISTRADORES!A11)</f>
        <v>ACARI</v>
      </c>
      <c r="B3">
        <f>IF(ADMINISTRADORES!B11="","",ADMINISTRADORES!B11)</f>
        <v>1234</v>
      </c>
      <c r="C3" t="str">
        <f>IF(ADMINISTRADORES!C11="","",ADMINISTRADORES!C11)</f>
        <v>MENU (ADM)</v>
      </c>
    </row>
    <row r="4" spans="1:3" x14ac:dyDescent="0.25">
      <c r="A4" t="str">
        <f>IF(ADMINISTRADORES!A12="","",ADMINISTRADORES!A12)</f>
        <v>ACARI</v>
      </c>
      <c r="B4">
        <f>IF(ADMINISTRADORES!B12="","",ADMINISTRADORES!B12)</f>
        <v>1234</v>
      </c>
      <c r="C4" t="str">
        <f>IF(ADMINISTRADORES!C12="","",ADMINISTRADORES!C12)</f>
        <v>DadosAssociados</v>
      </c>
    </row>
    <row r="5" spans="1:3" ht="15" customHeight="1" x14ac:dyDescent="0.25">
      <c r="A5" t="str">
        <f>IF(ADMINISTRADORES!A13="","",ADMINISTRADORES!A13)</f>
        <v>ACARI</v>
      </c>
      <c r="B5">
        <f>IF(ADMINISTRADORES!B13="","",ADMINISTRADORES!B13)</f>
        <v>1234</v>
      </c>
      <c r="C5" t="str">
        <f>IF(ADMINISTRADORES!C13="","",ADMINISTRADORES!C13)</f>
        <v>PreçosEDITÁVEL</v>
      </c>
    </row>
    <row r="6" spans="1:3" x14ac:dyDescent="0.25">
      <c r="A6" t="str">
        <f>IF(ADMINISTRADORES!A14="","",ADMINISTRADORES!A14)</f>
        <v>ACARI</v>
      </c>
      <c r="B6">
        <f>IF(ADMINISTRADORES!B14="","",ADMINISTRADORES!B14)</f>
        <v>1234</v>
      </c>
      <c r="C6" t="str">
        <f>IF(ADMINISTRADORES!C14="","",ADMINISTRADORES!C14)</f>
        <v>Senha</v>
      </c>
    </row>
    <row r="7" spans="1:3" x14ac:dyDescent="0.25">
      <c r="A7" t="str">
        <f>IF(ADMINISTRADORES!A15="","",ADMINISTRADORES!A15)</f>
        <v>ACARI</v>
      </c>
      <c r="B7">
        <f>IF(ADMINISTRADORES!B15="","",ADMINISTRADORES!B15)</f>
        <v>1234</v>
      </c>
      <c r="C7" t="str">
        <f>IF(ADMINISTRADORES!C15="","",ADMINISTRADORES!C15)</f>
        <v>Estoque</v>
      </c>
    </row>
    <row r="8" spans="1:3" ht="14.25" customHeight="1" x14ac:dyDescent="0.25">
      <c r="A8" t="str">
        <f>IF(ADMINISTRADORES!A16="","",ADMINISTRADORES!A16)</f>
        <v>ACARI</v>
      </c>
      <c r="B8">
        <f>IF(ADMINISTRADORES!B16="","",ADMINISTRADORES!B16)</f>
        <v>1234</v>
      </c>
      <c r="C8" t="str">
        <f>IF(ADMINISTRADORES!C16="","",ADMINISTRADORES!C16)</f>
        <v>Extrato (GERAL)</v>
      </c>
    </row>
    <row r="9" spans="1:3" hidden="1" x14ac:dyDescent="0.25">
      <c r="C9" t="str">
        <f>IF(ADMINISTRADORES!C17="","",ADMINISTRADORES!C17)</f>
        <v/>
      </c>
    </row>
    <row r="10" spans="1:3" hidden="1" x14ac:dyDescent="0.25">
      <c r="C10" t="str">
        <f>IF(ADMINISTRADORES!C18="","",ADMINISTRADORES!C18)</f>
        <v/>
      </c>
    </row>
    <row r="11" spans="1:3" hidden="1" x14ac:dyDescent="0.25"/>
    <row r="12" spans="1:3" hidden="1" x14ac:dyDescent="0.25"/>
    <row r="13" spans="1:3" hidden="1" x14ac:dyDescent="0.25"/>
    <row r="14" spans="1:3" hidden="1" x14ac:dyDescent="0.25"/>
    <row r="15" spans="1:3" hidden="1" x14ac:dyDescent="0.25"/>
    <row r="16" spans="1:3" hidden="1" x14ac:dyDescent="0.25">
      <c r="A16" t="str">
        <f>IF(ADMINISTRADORES!A28="","",ADMINISTRADORES!A28)</f>
        <v/>
      </c>
      <c r="B16" t="str">
        <f>IF(ADMINISTRADORES!B28="","",ADMINISTRADORES!B28)</f>
        <v/>
      </c>
      <c r="C16" t="str">
        <f>IF(ADMINISTRADORES!C28="","",ADMINISTRADORES!C28)</f>
        <v/>
      </c>
    </row>
    <row r="17" spans="1:3" hidden="1" x14ac:dyDescent="0.25">
      <c r="A17" t="str">
        <f>IF(ADMINISTRADORES!A29="","",ADMINISTRADORES!A29)</f>
        <v/>
      </c>
      <c r="B17" t="str">
        <f>IF(ADMINISTRADORES!B29="","",ADMINISTRADORES!B29)</f>
        <v/>
      </c>
      <c r="C17" t="str">
        <f>IF(ADMINISTRADORES!C29="","",ADMINISTRADORES!C29)</f>
        <v/>
      </c>
    </row>
    <row r="18" spans="1:3" hidden="1" x14ac:dyDescent="0.25">
      <c r="A18" t="str">
        <f>IF(ADMINISTRADORES!A30="","",ADMINISTRADORES!A30)</f>
        <v/>
      </c>
      <c r="B18" t="str">
        <f>IF(ADMINISTRADORES!B30="","",ADMINISTRADORES!B30)</f>
        <v/>
      </c>
      <c r="C18" t="str">
        <f>IF(ADMINISTRADORES!C30="","",ADMINISTRADORES!C30)</f>
        <v/>
      </c>
    </row>
    <row r="19" spans="1:3" hidden="1" x14ac:dyDescent="0.25">
      <c r="A19" t="str">
        <f>IF(ADMINISTRADORES!A31="","",ADMINISTRADORES!A31)</f>
        <v/>
      </c>
      <c r="B19" t="str">
        <f>IF(ADMINISTRADORES!B31="","",ADMINISTRADORES!B31)</f>
        <v/>
      </c>
      <c r="C19" t="str">
        <f>IF(ADMINISTRADORES!C31="","",ADMINISTRADORES!C31)</f>
        <v/>
      </c>
    </row>
    <row r="20" spans="1:3" hidden="1" x14ac:dyDescent="0.25">
      <c r="A20" t="str">
        <f>IF(ADMINISTRADORES!A32="","",ADMINISTRADORES!A32)</f>
        <v/>
      </c>
      <c r="B20" t="str">
        <f>IF(ADMINISTRADORES!B32="","",ADMINISTRADORES!B32)</f>
        <v/>
      </c>
      <c r="C20" t="str">
        <f>IF(ADMINISTRADORES!C32="","",ADMINISTRADORES!C32)</f>
        <v/>
      </c>
    </row>
    <row r="21" spans="1:3" hidden="1" x14ac:dyDescent="0.25">
      <c r="A21" t="str">
        <f>IF(ADMINISTRADORES!A33="","",ADMINISTRADORES!A33)</f>
        <v/>
      </c>
      <c r="B21" t="str">
        <f>IF(ADMINISTRADORES!B33="","",ADMINISTRADORES!B33)</f>
        <v/>
      </c>
      <c r="C21" t="str">
        <f>IF(ADMINISTRADORES!C33="","",ADMINISTRADORES!C33)</f>
        <v/>
      </c>
    </row>
    <row r="22" spans="1:3" hidden="1" x14ac:dyDescent="0.25">
      <c r="A22" t="str">
        <f>IF(ADMINISTRADORES!A34="","",ADMINISTRADORES!A34)</f>
        <v/>
      </c>
      <c r="B22" t="str">
        <f>IF(ADMINISTRADORES!B34="","",ADMINISTRADORES!B34)</f>
        <v/>
      </c>
      <c r="C22" t="str">
        <f>IF(ADMINISTRADORES!C34="","",ADMINISTRADORES!C34)</f>
        <v/>
      </c>
    </row>
    <row r="23" spans="1:3" hidden="1" x14ac:dyDescent="0.25">
      <c r="A23" t="str">
        <f>IF(ADMINISTRADORES!A35="","",ADMINISTRADORES!A35)</f>
        <v/>
      </c>
      <c r="B23" t="str">
        <f>IF(ADMINISTRADORES!B35="","",ADMINISTRADORES!B35)</f>
        <v/>
      </c>
      <c r="C23" t="str">
        <f>IF(ADMINISTRADORES!C35="","",ADMINISTRADORES!C35)</f>
        <v/>
      </c>
    </row>
    <row r="24" spans="1:3" hidden="1" x14ac:dyDescent="0.25">
      <c r="A24" t="str">
        <f>IF(ADMINISTRADORES!A36="","",ADMINISTRADORES!A36)</f>
        <v/>
      </c>
      <c r="B24" t="str">
        <f>IF(ADMINISTRADORES!B36="","",ADMINISTRADORES!B36)</f>
        <v/>
      </c>
      <c r="C24" t="str">
        <f>IF(ADMINISTRADORES!C36="","",ADMINISTRADORES!C36)</f>
        <v/>
      </c>
    </row>
    <row r="25" spans="1:3" hidden="1" x14ac:dyDescent="0.25">
      <c r="A25" t="str">
        <f>IF(ADMINISTRADORES!A37="","",ADMINISTRADORES!A37)</f>
        <v/>
      </c>
      <c r="B25" t="str">
        <f>IF(ADMINISTRADORES!B37="","",ADMINISTRADORES!B37)</f>
        <v/>
      </c>
      <c r="C25" t="str">
        <f>IF(ADMINISTRADORES!C37="","",ADMINISTRADORES!C37)</f>
        <v/>
      </c>
    </row>
    <row r="26" spans="1:3" hidden="1" x14ac:dyDescent="0.25">
      <c r="A26" t="str">
        <f>IF(ADMINISTRADORES!A38="","",ADMINISTRADORES!A38)</f>
        <v/>
      </c>
      <c r="B26" t="str">
        <f>IF(ADMINISTRADORES!B38="","",ADMINISTRADORES!B38)</f>
        <v/>
      </c>
      <c r="C26" t="str">
        <f>IF(ADMINISTRADORES!C38="","",ADMINISTRADORES!C38)</f>
        <v/>
      </c>
    </row>
    <row r="27" spans="1:3" ht="12" hidden="1" customHeight="1" x14ac:dyDescent="0.25">
      <c r="A27" t="str">
        <f>IF(ADMINISTRADORES!A39="","",ADMINISTRADORES!A39)</f>
        <v/>
      </c>
      <c r="B27" t="str">
        <f>IF(ADMINISTRADORES!B39="","",ADMINISTRADORES!B39)</f>
        <v/>
      </c>
      <c r="C27" t="str">
        <f>IF(ADMINISTRADORES!C39="","",ADMINISTRADORES!C39)</f>
        <v/>
      </c>
    </row>
  </sheetData>
  <autoFilter ref="A1:C27" xr:uid="{00000000-0009-0000-0000-00000D000000}">
    <filterColumn colId="0">
      <filters>
        <filter val="ACARI"/>
      </filters>
    </filterColumn>
    <filterColumn colId="1">
      <filters>
        <filter val="1234"/>
      </filters>
    </filterColumn>
  </autoFilter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F2F8B-1DDE-48EE-BFFB-6CF8F3EAD624}">
  <sheetPr codeName="shtBD_Planilha"/>
  <dimension ref="B1:D3"/>
  <sheetViews>
    <sheetView showGridLines="0" showRowColHeaders="0" showZeros="0" workbookViewId="0"/>
  </sheetViews>
  <sheetFormatPr defaultRowHeight="15" x14ac:dyDescent="0.25"/>
  <cols>
    <col min="2" max="2" width="11.7109375" style="1" customWidth="1"/>
    <col min="3" max="3" width="15.5703125" style="1" bestFit="1" customWidth="1"/>
    <col min="4" max="4" width="17.42578125" customWidth="1"/>
  </cols>
  <sheetData>
    <row r="1" spans="2:4" ht="130.5" customHeight="1" x14ac:dyDescent="0.25"/>
    <row r="2" spans="2:4" x14ac:dyDescent="0.25">
      <c r="B2" s="1" t="s">
        <v>133</v>
      </c>
      <c r="C2" s="1" t="s">
        <v>134</v>
      </c>
      <c r="D2" s="1" t="s">
        <v>135</v>
      </c>
    </row>
    <row r="3" spans="2:4" x14ac:dyDescent="0.25">
      <c r="B3" s="1" t="s">
        <v>136</v>
      </c>
      <c r="C3" s="1" t="s">
        <v>137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Option Button 1">
              <controlPr defaultSize="0" autoFill="0" autoLine="0" autoPict="0" macro="[0]!Full_Screen">
                <anchor moveWithCells="1">
                  <from>
                    <xdr:col>3</xdr:col>
                    <xdr:colOff>123825</xdr:colOff>
                    <xdr:row>1</xdr:row>
                    <xdr:rowOff>180975</xdr:rowOff>
                  </from>
                  <to>
                    <xdr:col>3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Option Button 3">
              <controlPr defaultSize="0" autoFill="0" autoLine="0" autoPict="0" macro="[0]!Off_Full_screen">
                <anchor moveWithCells="1">
                  <from>
                    <xdr:col>3</xdr:col>
                    <xdr:colOff>647700</xdr:colOff>
                    <xdr:row>1</xdr:row>
                    <xdr:rowOff>180975</xdr:rowOff>
                  </from>
                  <to>
                    <xdr:col>3</xdr:col>
                    <xdr:colOff>952500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13</vt:i4>
      </vt:variant>
    </vt:vector>
  </HeadingPairs>
  <TitlesOfParts>
    <vt:vector size="30" baseType="lpstr">
      <vt:lpstr>MENU (Geral)</vt:lpstr>
      <vt:lpstr>Vender</vt:lpstr>
      <vt:lpstr>PreçosEXIBIÇÃO</vt:lpstr>
      <vt:lpstr>MENU (ADM)</vt:lpstr>
      <vt:lpstr>Estoque</vt:lpstr>
      <vt:lpstr>Ficha Estoque</vt:lpstr>
      <vt:lpstr>Despesas</vt:lpstr>
      <vt:lpstr>Registro Despesas</vt:lpstr>
      <vt:lpstr>Fluxo de Caixa</vt:lpstr>
      <vt:lpstr>Extrato (GERAL)</vt:lpstr>
      <vt:lpstr>Vender (2)</vt:lpstr>
      <vt:lpstr>Extrato (VENDAS)</vt:lpstr>
      <vt:lpstr>DadosAssociados</vt:lpstr>
      <vt:lpstr>PreçosEDITÁVEL</vt:lpstr>
      <vt:lpstr>ADMINISTRADORES</vt:lpstr>
      <vt:lpstr>Senha</vt:lpstr>
      <vt:lpstr>BD_Planilha</vt:lpstr>
      <vt:lpstr>item</vt:lpstr>
      <vt:lpstr>'Extrato (VENDAS)'!Lista_Relatório</vt:lpstr>
      <vt:lpstr>'Registro Despesas'!Lista_Relatório</vt:lpstr>
      <vt:lpstr>Lista_Relatório</vt:lpstr>
      <vt:lpstr>ListaNomeAssociados</vt:lpstr>
      <vt:lpstr>'Ficha Estoque'!Materiais</vt:lpstr>
      <vt:lpstr>Materiais</vt:lpstr>
      <vt:lpstr>'Extrato (GERAL)'!Material</vt:lpstr>
      <vt:lpstr>'Extrato (VENDAS)'!Material</vt:lpstr>
      <vt:lpstr>'Registro Despesas'!Material</vt:lpstr>
      <vt:lpstr>Material_Venda_ADM</vt:lpstr>
      <vt:lpstr>'Ficha Estoque'!preços</vt:lpstr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Augusto Botrel</dc:creator>
  <cp:lastModifiedBy>Felipe Augusto Botrel</cp:lastModifiedBy>
  <cp:lastPrinted>2018-03-01T19:24:46Z</cp:lastPrinted>
  <dcterms:created xsi:type="dcterms:W3CDTF">2017-04-25T13:40:30Z</dcterms:created>
  <dcterms:modified xsi:type="dcterms:W3CDTF">2018-03-01T19:48:12Z</dcterms:modified>
</cp:coreProperties>
</file>